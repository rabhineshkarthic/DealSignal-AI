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C Summary" sheetId="1" state="visible" r:id="rId1"/>
    <sheet name="Assumptions" sheetId="2" state="visible" r:id="rId2"/>
    <sheet name="Valuation" sheetId="3" state="visible" r:id="rId3"/>
    <sheet name="Synergies" sheetId="4" state="visible" r:id="rId4"/>
    <sheet name="Transaction Structure" sheetId="5" state="visible" r:id="rId5"/>
    <sheet name="Accretion Dilution" sheetId="6" state="visible" r:id="rId6"/>
    <sheet name="Due Diligence" sheetId="7" state="visible" r:id="rId7"/>
    <sheet name="Risk Summary" sheetId="8" state="visible" r:id="rId8"/>
    <sheet name="IC Memo" sheetId="9" state="visible" r:id="rId9"/>
  </sheets>
  <definedNames>
    <definedName name="_xlnm.Print_Titles" localSheetId="0">'IC Summary'!$1:$2</definedName>
    <definedName name="_xlnm.Print_Titles" localSheetId="1">'Assumptions'!$1:$2</definedName>
    <definedName name="_xlnm.Print_Titles" localSheetId="2">'Valuation'!$1:$2</definedName>
    <definedName name="_xlnm.Print_Titles" localSheetId="3">'Synergies'!$1:$2</definedName>
    <definedName name="_xlnm.Print_Titles" localSheetId="4">'Transaction Structure'!$1:$2</definedName>
    <definedName name="_xlnm.Print_Titles" localSheetId="5">'Accretion Dilution'!$1:$2</definedName>
    <definedName name="_xlnm.Print_Titles" localSheetId="6">'Due Diligence'!$1:$2</definedName>
    <definedName name="_xlnm.Print_Titles" localSheetId="7">'Risk Summary'!$1:$2</definedName>
    <definedName name="_xlnm.Print_Titles" localSheetId="8">'IC Memo'!$1:$2</definedName>
  </definedNames>
  <calcPr calcId="124519" calcMode="auto" fullCalcOnLoad="1" forceFullCalc="1"/>
</workbook>
</file>

<file path=xl/styles.xml><?xml version="1.0" encoding="utf-8"?>
<styleSheet xmlns="http://schemas.openxmlformats.org/spreadsheetml/2006/main">
  <numFmts count="7">
    <numFmt numFmtId="164" formatCode="#,##0.0;[Red](#,##0.0);-"/>
    <numFmt numFmtId="165" formatCode="0.0x"/>
    <numFmt numFmtId="166" formatCode="0.0%;[Red](0.0%);-"/>
    <numFmt numFmtId="167" formatCode="#,##0.0000;[Red](#,##0.0000);-"/>
    <numFmt numFmtId="168" formatCode="0.0%"/>
    <numFmt numFmtId="169" formatCode="0.0000"/>
    <numFmt numFmtId="170" formatCode="0.0000;[Red](0.0000);-"/>
  </numFmts>
  <fonts count="13">
    <font>
      <name val="Calibri"/>
      <family val="2"/>
      <color theme="1"/>
      <sz val="11"/>
      <scheme val="minor"/>
    </font>
    <font>
      <name val="Arial"/>
      <b val="1"/>
      <color rgb="001F3864"/>
      <sz val="14"/>
    </font>
    <font>
      <name val="Arial"/>
      <i val="1"/>
      <color rgb="00595959"/>
      <sz val="9"/>
    </font>
    <font>
      <name val="Arial"/>
      <i val="1"/>
      <color rgb="00595959"/>
      <sz val="10"/>
    </font>
    <font>
      <name val="Arial"/>
      <b val="1"/>
      <color rgb="00FFFFFF"/>
      <sz val="10"/>
    </font>
    <font>
      <name val="Arial"/>
      <color rgb="00000000"/>
      <sz val="10"/>
    </font>
    <font>
      <name val="Arial"/>
      <color rgb="000000FF"/>
      <sz val="10"/>
    </font>
    <font>
      <name val="Arial"/>
      <color rgb="00008000"/>
      <sz val="10"/>
    </font>
    <font>
      <name val="Arial"/>
      <b val="1"/>
      <color rgb="00000000"/>
      <sz val="10"/>
    </font>
    <font>
      <name val="Arial"/>
      <b val="1"/>
      <color rgb="00008000"/>
      <sz val="10"/>
    </font>
    <font>
      <name val="Arial"/>
      <b val="1"/>
      <color rgb="001F3864"/>
      <sz val="12"/>
    </font>
    <font>
      <name val="Arial"/>
      <b val="1"/>
      <color rgb="001F3864"/>
      <sz val="10"/>
    </font>
    <font>
      <name val="Arial"/>
      <b val="1"/>
      <color rgb="00000000"/>
      <sz val="12"/>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bottom style="thin">
        <color rgb="00BFBFBF"/>
      </bottom>
    </border>
    <border>
      <bottom style="thin">
        <color rgb="001F3864"/>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top"/>
    </xf>
    <xf numFmtId="0" fontId="7" fillId="0" borderId="0" applyAlignment="1" pivotButton="0" quotePrefix="0" xfId="0">
      <alignment horizontal="right" vertical="top"/>
    </xf>
    <xf numFmtId="164" fontId="7" fillId="0" borderId="0" applyAlignment="1" pivotButton="0" quotePrefix="0" xfId="0">
      <alignment horizontal="right" vertical="top"/>
    </xf>
    <xf numFmtId="166" fontId="7" fillId="0" borderId="0" applyAlignment="1" pivotButton="0" quotePrefix="0" xfId="0">
      <alignment horizontal="right" vertical="top"/>
    </xf>
    <xf numFmtId="0" fontId="5" fillId="0" borderId="0" applyAlignment="1" pivotButton="0" quotePrefix="0" xfId="0">
      <alignment horizontal="right" vertical="top"/>
    </xf>
    <xf numFmtId="1" fontId="5" fillId="0" borderId="0" applyAlignment="1" pivotButton="0" quotePrefix="0" xfId="0">
      <alignment horizontal="right" vertical="top"/>
    </xf>
    <xf numFmtId="0" fontId="3" fillId="0" borderId="0" applyAlignment="1" pivotButton="0" quotePrefix="0" xfId="0">
      <alignment horizontal="left" vertical="top" wrapText="1"/>
    </xf>
    <xf numFmtId="4" fontId="7" fillId="0" borderId="0" applyAlignment="1" pivotButton="0" quotePrefix="0" xfId="0">
      <alignment horizontal="right" vertical="top"/>
    </xf>
    <xf numFmtId="168" fontId="7" fillId="0" borderId="0" applyAlignment="1" pivotButton="0" quotePrefix="0" xfId="0">
      <alignment horizontal="right" vertical="top"/>
    </xf>
    <xf numFmtId="0" fontId="1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right" vertical="top"/>
    </xf>
    <xf numFmtId="164" fontId="6" fillId="0" borderId="0" applyAlignment="1" pivotButton="0" quotePrefix="0" xfId="0">
      <alignment horizontal="right" vertical="top"/>
    </xf>
    <xf numFmtId="4" fontId="6" fillId="0" borderId="0" applyAlignment="1" pivotButton="0" quotePrefix="0" xfId="0">
      <alignment horizontal="right" vertical="top"/>
    </xf>
    <xf numFmtId="165" fontId="6" fillId="0" borderId="0" applyAlignment="1" pivotButton="0" quotePrefix="0" xfId="0">
      <alignment horizontal="right" vertical="top"/>
    </xf>
    <xf numFmtId="1" fontId="6" fillId="0" borderId="0" applyAlignment="1" pivotButton="0" quotePrefix="0" xfId="0">
      <alignment horizontal="right" vertical="top"/>
    </xf>
    <xf numFmtId="166" fontId="6" fillId="3" borderId="0" applyAlignment="1" pivotButton="0" quotePrefix="0" xfId="0">
      <alignment horizontal="right" vertical="top"/>
    </xf>
    <xf numFmtId="164" fontId="6" fillId="3" borderId="0" applyAlignment="1" pivotButton="0" quotePrefix="0" xfId="0">
      <alignment horizontal="right" vertical="top"/>
    </xf>
    <xf numFmtId="1" fontId="6" fillId="3" borderId="0" applyAlignment="1" pivotButton="0" quotePrefix="0" xfId="0">
      <alignment horizontal="right" vertical="top"/>
    </xf>
    <xf numFmtId="166" fontId="6" fillId="0" borderId="0" applyAlignment="1" pivotButton="0" quotePrefix="0" xfId="0">
      <alignment horizontal="right" vertical="top"/>
    </xf>
    <xf numFmtId="0" fontId="8" fillId="0" borderId="1" applyAlignment="1" pivotButton="0" quotePrefix="0" xfId="0">
      <alignment horizontal="left" wrapText="1"/>
    </xf>
    <xf numFmtId="0" fontId="8" fillId="0" borderId="1" applyAlignment="1" pivotButton="0" quotePrefix="0" xfId="0">
      <alignment horizontal="right" wrapText="1"/>
    </xf>
    <xf numFmtId="164" fontId="5" fillId="0" borderId="0" applyAlignment="1" pivotButton="0" quotePrefix="0" xfId="0">
      <alignment horizontal="right" vertical="top"/>
    </xf>
    <xf numFmtId="164" fontId="9" fillId="0" borderId="0" applyAlignment="1" pivotButton="0" quotePrefix="0" xfId="0">
      <alignment horizontal="right" vertical="top"/>
    </xf>
    <xf numFmtId="165" fontId="7" fillId="0" borderId="0" applyAlignment="1" pivotButton="0" quotePrefix="0" xfId="0">
      <alignment horizontal="right" vertical="top"/>
    </xf>
    <xf numFmtId="1" fontId="7" fillId="0" borderId="0" applyAlignment="1" pivotButton="0" quotePrefix="0" xfId="0">
      <alignment horizontal="right" vertical="top"/>
    </xf>
    <xf numFmtId="1" fontId="5" fillId="0" borderId="0" applyAlignment="1" pivotButton="0" quotePrefix="0" xfId="0">
      <alignment horizontal="left" vertical="top"/>
    </xf>
    <xf numFmtId="167" fontId="5" fillId="0" borderId="0" applyAlignment="1" pivotButton="0" quotePrefix="0" xfId="0">
      <alignment horizontal="right" vertical="top"/>
    </xf>
    <xf numFmtId="169" fontId="5" fillId="0" borderId="0" applyAlignment="1" pivotButton="0" quotePrefix="0" xfId="0">
      <alignment horizontal="right" vertical="top"/>
    </xf>
    <xf numFmtId="167" fontId="8" fillId="0" borderId="0" applyAlignment="1" pivotButton="0" quotePrefix="0" xfId="0">
      <alignment horizontal="right" vertical="top"/>
    </xf>
    <xf numFmtId="166" fontId="5" fillId="0" borderId="0" applyAlignment="1" pivotButton="0" quotePrefix="0" xfId="0">
      <alignment horizontal="right" vertical="top"/>
    </xf>
    <xf numFmtId="164" fontId="7" fillId="3" borderId="0" applyAlignment="1" pivotButton="0" quotePrefix="0" xfId="0">
      <alignment horizontal="right" vertical="top"/>
    </xf>
    <xf numFmtId="1" fontId="7" fillId="3" borderId="0" applyAlignment="1" pivotButton="0" quotePrefix="0" xfId="0">
      <alignment horizontal="right" vertical="top"/>
    </xf>
    <xf numFmtId="164" fontId="8" fillId="0" borderId="0" applyAlignment="1" pivotButton="0" quotePrefix="0" xfId="0">
      <alignment horizontal="right" vertical="top"/>
    </xf>
    <xf numFmtId="0" fontId="8" fillId="3" borderId="0" applyAlignment="1" pivotButton="0" quotePrefix="0" xfId="0">
      <alignment horizontal="left" vertical="top" wrapText="1"/>
    </xf>
    <xf numFmtId="166" fontId="7" fillId="3" borderId="0" applyAlignment="1" pivotButton="0" quotePrefix="0" xfId="0">
      <alignment horizontal="right" vertical="top"/>
    </xf>
    <xf numFmtId="4" fontId="5" fillId="0" borderId="0" applyAlignment="1" pivotButton="0" quotePrefix="0" xfId="0">
      <alignment horizontal="right" vertical="top"/>
    </xf>
    <xf numFmtId="168" fontId="5" fillId="0" borderId="0" applyAlignment="1" pivotButton="0" quotePrefix="0" xfId="0">
      <alignment horizontal="right" vertical="top"/>
    </xf>
    <xf numFmtId="167" fontId="7" fillId="0" borderId="0" applyAlignment="1" pivotButton="0" quotePrefix="0" xfId="0">
      <alignment horizontal="right" vertical="top"/>
    </xf>
    <xf numFmtId="170" fontId="5" fillId="0" borderId="0" applyAlignment="1" pivotButton="0" quotePrefix="0" xfId="0">
      <alignment horizontal="right" vertical="top"/>
    </xf>
    <xf numFmtId="0" fontId="8" fillId="0" borderId="0" applyAlignment="1" pivotButton="0" quotePrefix="0" xfId="0">
      <alignment horizontal="right" vertical="top"/>
    </xf>
    <xf numFmtId="167" fontId="7" fillId="3" borderId="0" applyAlignment="1" pivotButton="0" quotePrefix="0" xfId="0">
      <alignment horizontal="right" vertical="top"/>
    </xf>
    <xf numFmtId="0" fontId="10" fillId="0" borderId="0" applyAlignment="1" pivotButton="0" quotePrefix="0" xfId="0">
      <alignment horizontal="left" vertical="top" wrapText="1"/>
    </xf>
    <xf numFmtId="0" fontId="11" fillId="0" borderId="2"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Enterprise value comparison (USD millions)</a:t>
            </a:r>
          </a:p>
        </rich>
      </tx>
    </title>
    <plotArea>
      <barChart>
        <barDir val="col"/>
        <grouping val="clustered"/>
        <ser>
          <idx val="0"/>
          <order val="0"/>
          <spPr>
            <a:ln>
              <a:prstDash val="solid"/>
            </a:ln>
          </spPr>
          <cat>
            <numRef>
              <f>'Valuation'!$A$50:$A$53</f>
            </numRef>
          </cat>
          <val>
            <numRef>
              <f>'Valuation'!$B$50:$B$53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USD millions</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Deal Team Model</author>
  </authors>
  <commentList>
    <comment ref="B12" authorId="0" shapeId="0">
      <text>
        <t>Source: DealTeamResult.status</t>
      </text>
    </comment>
    <comment ref="B13" authorId="0" shapeId="0">
      <text>
        <t>Source: DealTeamResult.review_rounds_used</t>
      </text>
    </comment>
    <comment ref="A37" authorId="0" shapeId="0">
      <text>
        <t>Source: MemoResult.conclusion</t>
      </text>
    </comment>
    <comment ref="A40" authorId="0" shapeId="0">
      <text>
        <t>Source: final IC Partner review — unresolved_information_gaps</t>
      </text>
    </comment>
    <comment ref="A41" authorId="0" shapeId="0">
      <text>
        <t>Source: final IC Partner review — unresolved_information_gaps</t>
      </text>
    </comment>
    <comment ref="A42" authorId="0" shapeId="0">
      <text>
        <t>Source: final IC Partner review — unresolved_information_gaps</t>
      </text>
    </comment>
    <comment ref="A43" authorId="0" shapeId="0">
      <text>
        <t>Source: final IC Partner review — unresolved_information_gaps</t>
      </text>
    </comment>
    <comment ref="A44" authorId="0" shapeId="0">
      <text>
        <t>Source: final IC Partner review — unresolved_information_gaps</t>
      </text>
    </comment>
    <comment ref="A45" authorId="0" shapeId="0">
      <text>
        <t>Source: final IC Partner review — unresolved_information_gaps</t>
      </text>
    </comment>
  </commentList>
</comments>
</file>

<file path=xl/comments/comment2.xml><?xml version="1.0" encoding="utf-8"?>
<comments xmlns="http://schemas.openxmlformats.org/spreadsheetml/2006/main">
  <authors>
    <author>Deal Team Model</author>
  </authors>
  <commentList>
    <comment ref="B7" authorId="0" shapeId="0">
      <text>
        <t>Source: Research deal setup (confirmed by the user)</t>
      </text>
    </comment>
    <comment ref="B8" authorId="0" shapeId="0">
      <text>
        <t>Source: Research deal setup (confirmed by the user)</t>
      </text>
    </comment>
    <comment ref="B9" authorId="0" shapeId="0">
      <text>
        <t>Source: Research deal setup (confirmed by the user)</t>
      </text>
    </comment>
    <comment ref="B12" authorId="0" shapeId="0">
      <text>
        <t>Source: SEC EDGAR — registrant name (CIK 0001467373)</t>
      </text>
    </comment>
    <comment ref="B13" authorId="0" shapeId="0">
      <text>
        <t>Source: SEC EDGAR — Accenture plc — Form 10-K — us-gaap:Revenues — 2024-09-01 to 2025-08-31 — document 0001467373-25-000217</t>
      </text>
    </comment>
    <comment ref="B14" authorId="0" shapeId="0">
      <text>
        <t>Source: SEC EDGAR — Accenture plc — Form 10-K — derived: EBITDA = operating income (us-gaap:OperatingIncomeLoss) + depreciation (us-gaap:Depreciation) + amortization (us-gaap:AmortizationOfIntangibleAssets), period 2024-09-01 to 2025-08-31</t>
      </text>
    </comment>
    <comment ref="B15" authorId="0" shapeId="0">
      <text>
        <t>Source: SEC EDGAR — Accenture plc — Form 10-K — us-gaap:NetIncomeLoss — 2024-09-01 to 2025-08-31 — document 0001467373-25-000217</t>
      </text>
    </comment>
    <comment ref="B16" authorId="0" shapeId="0">
      <text>
        <t>Source: SEC EDGAR — Accenture plc — Form 10-Q — us-gaap:CashAndCashEquivalentsAtCarryingValue — as of 2026-05-31 — document 0001467373-26-000032</t>
      </text>
    </comment>
    <comment ref="B17" authorId="0" shapeId="0">
      <text>
        <t>Source: EFFECTIVE VALUE 5142.265 — user override — as of 2026-05-31 — override source: SEC 10-Q filed 2026-06-18: us-gaap:LongTermDebtAndCapitalLeaseObligations 5,029.449 + us-gaap:DebtCurrent 112.816 — reason: Mapped SEC XBRL debt fact is stale (as of 2024-08-31). Original researched value (kept for provenance, not used): 1024.857 USD millions — STALE — SEC EDGAR — us-gaap:DebtLongtermAndShorttermCombinedAmount — as of 2024-08-31.</t>
      </text>
    </comment>
    <comment ref="B18" authorId="0" shapeId="0">
      <text>
        <t>Source: EFFECTIVE VALUE 612.213453 — user override — as of 2026-05-31 — override source: SEC 10-Q filed 2026-06-18: us-gaap:WeightedAverageNumberOfSharesOutstandingBasic, 2026-03-01 to 2026-05-31 — reason: No current point-in-time share count in SEC CompanyFacts (latest dei cover fact is 2010-03-19). Share basis: Weighted-average basic shares (modelling proxy). Original researched value (kept for provenance, not used): 637.016143 shares (millions) — STALE — SEC EDGAR — dei:EntityCommonStockSharesOutstanding — as of 2010-03-19. Share basis definition: Weighted-average basic shares (modelling proxy).</t>
      </text>
    </comment>
    <comment ref="B19" authorId="0" shapeId="0">
      <text>
        <t>Source: Alpha Vantage (third-party market data) — as of latest trading day 2026-10-02</t>
      </text>
    </comment>
    <comment ref="B22" authorId="0" shapeId="0">
      <text>
        <t>Source: SEC EDGAR — registrant name (CIK 0001352010)</t>
      </text>
    </comment>
    <comment ref="B23" authorId="0" shapeId="0">
      <text>
        <t>Source: SEC EDGAR — EPAM Systems, Inc. — Form 10-K — us-gaap:RevenueFromContractWithCustomerExcludingAssessedTax — 2025-01-01 to 2025-12-31 — document 0001352010-26-000015</t>
      </text>
    </comment>
    <comment ref="B24" authorId="0" shapeId="0">
      <text>
        <t>Source: SEC EDGAR — EPAM Systems, Inc. — Form 10-K — derived: EBITDA = operating income (us-gaap:OperatingIncomeLoss) + depreciation &amp; amortization (us-gaap:DepreciationAndAmortization), period 2025-01-01 to 2025-12-31</t>
      </text>
    </comment>
    <comment ref="B25" authorId="0" shapeId="0">
      <text>
        <t>Source: SEC EDGAR — EPAM Systems, Inc. — Form 10-K — us-gaap:NetIncomeLoss — 2025-01-01 to 2025-12-31 — document 0001352010-26-000015</t>
      </text>
    </comment>
    <comment ref="B26" authorId="0" shapeId="0">
      <text>
        <t>Source: SEC EDGAR — EPAM Systems, Inc. — Form 10-K — derived: Free cash flow = operating cash flow (us-gaap:NetCashProvidedByUsedInOperatingActivities) − capital expenditures (us-gaap:PaymentsToAcquirePropertyPlantAndEquipment), period 2025-01-01 to 2025-12-31</t>
      </text>
    </comment>
    <comment ref="B27" authorId="0" shapeId="0">
      <text>
        <t>Source: SEC EDGAR — EPAM Systems, Inc. — Form 10-Q — us-gaap:CashAndCashEquivalentsAtCarryingValue — as of 2026-06-30 — document 0001352010-26-000046</t>
      </text>
    </comment>
    <comment ref="B28" authorId="0" shapeId="0">
      <text>
        <t>Source: EFFECTIVE VALUE 25.0 — user override — as of 2026-06-30 — override source: SEC 10-Q filed 2026-08-06: us-gaap:LongTermDebtNoncurrent; no current debt reported — reason: Mapped SEC XBRL debt fact is stale (as of 2015-12-31). Original researched value (kept for provenance, not used): 35.0 USD millions — STALE — SEC EDGAR — us-gaap:LongTermDebt — as of 2015-12-31.</t>
      </text>
    </comment>
    <comment ref="B31" authorId="0" shapeId="0">
      <text>
        <t>Source: User assumption (not researched)</t>
      </text>
    </comment>
    <comment ref="B32" authorId="0" shapeId="0">
      <text>
        <t>Source: User assumption (not researched)</t>
      </text>
    </comment>
    <comment ref="B35" authorId="0" shapeId="0">
      <text>
        <t>Source: User assumption (not researched)</t>
      </text>
    </comment>
    <comment ref="B36" authorId="0" shapeId="0">
      <text>
        <t>Source: User assumption (not researched)</t>
      </text>
    </comment>
    <comment ref="B37" authorId="0" shapeId="0">
      <text>
        <t>Source: User assumption (not researched)</t>
      </text>
    </comment>
    <comment ref="B38" authorId="0" shapeId="0">
      <text>
        <t>Source: User assumption (not researched)</t>
      </text>
    </comment>
    <comment ref="B41" authorId="0" shapeId="0">
      <text>
        <t>Source: User assumption (not researched)</t>
      </text>
    </comment>
    <comment ref="B42" authorId="0" shapeId="0">
      <text>
        <t>Source: User assumption (not researched)</t>
      </text>
    </comment>
    <comment ref="B43" authorId="0" shapeId="0">
      <text>
        <t>Source: User assumption (not researched)</t>
      </text>
    </comment>
    <comment ref="B44" authorId="0" shapeId="0">
      <text>
        <t>Source: User assumption (not researched)</t>
      </text>
    </comment>
    <comment ref="B45" authorId="0" shapeId="0">
      <text>
        <t>Source: User assumption (not researched)</t>
      </text>
    </comment>
    <comment ref="B46" authorId="0" shapeId="0">
      <text>
        <t>Source: User assumption (not researched)</t>
      </text>
    </comment>
    <comment ref="B49" authorId="0" shapeId="0">
      <text>
        <t>Source: User assumption (not researched)</t>
      </text>
    </comment>
    <comment ref="B50" authorId="0" shapeId="0">
      <text>
        <t>Source: User assumption (not researched)</t>
      </text>
    </comment>
    <comment ref="B51" authorId="0" shapeId="0">
      <text>
        <t>Source: User assumption (not researched)</t>
      </text>
    </comment>
    <comment ref="B52" authorId="0" shapeId="0">
      <text>
        <t>Source: User assumption (not researched)</t>
      </text>
    </comment>
    <comment ref="B53" authorId="0" shapeId="0">
      <text>
        <t>Source: User assumption (not researched)</t>
      </text>
    </comment>
  </commentList>
</comments>
</file>

<file path=xl/comments/comment3.xml><?xml version="1.0" encoding="utf-8"?>
<comments xmlns="http://schemas.openxmlformats.org/spreadsheetml/2006/main">
  <authors>
    <author>Deal Team Model</author>
  </authors>
  <commentList>
    <comment ref="C6" authorId="0" shapeId="0">
      <text>
        <t>Source: deterministic Python — valuation.py / deal_analysis.py</t>
      </text>
    </comment>
    <comment ref="C7" authorId="0" shapeId="0">
      <text>
        <t>Source: deterministic Python — valuation.py / deal_analysis.py</t>
      </text>
    </comment>
    <comment ref="C8" authorId="0" shapeId="0">
      <text>
        <t>Source: deterministic Python — valuation.py / deal_analysis.py</t>
      </text>
    </comment>
    <comment ref="C13" authorId="0" shapeId="0">
      <text>
        <t>Source: deterministic Python — valuation.py / deal_analysis.py</t>
      </text>
    </comment>
    <comment ref="A37" authorId="0" shapeId="0">
      <text>
        <t>Schedule period from deterministic Python (forecast_years)</t>
      </text>
    </comment>
  </commentList>
</comments>
</file>

<file path=xl/comments/comment4.xml><?xml version="1.0" encoding="utf-8"?>
<comments xmlns="http://schemas.openxmlformats.org/spreadsheetml/2006/main">
  <authors>
    <author>Deal Team Model</author>
  </authors>
  <commentList>
    <comment ref="C18" authorId="0" shapeId="0">
      <text>
        <t>Source: deterministic Python — valuation.py / deal_analysis.py</t>
      </text>
    </comment>
    <comment ref="A22" authorId="0" shapeId="0">
      <text>
        <t>Schedule period from deterministic Python (realization_years)</t>
      </text>
    </comment>
  </commentList>
</comments>
</file>

<file path=xl/comments/comment5.xml><?xml version="1.0" encoding="utf-8"?>
<comments xmlns="http://schemas.openxmlformats.org/spreadsheetml/2006/main">
  <authors>
    <author>Deal Team Model</author>
  </authors>
  <commentList>
    <comment ref="B8" authorId="0" shapeId="0">
      <text>
        <t>Case definition: synergies excluded</t>
      </text>
    </comment>
  </commentList>
</comments>
</file>

<file path=xl/comments/comment6.xml><?xml version="1.0" encoding="utf-8"?>
<comments xmlns="http://schemas.openxmlformats.org/spreadsheetml/2006/main">
  <authors>
    <author>Deal Team Model</author>
  </authors>
  <commentList>
    <comment ref="A6" authorId="0" shapeId="0">
      <text>
        <t>Source: final reviewed output — Financial Due Diligence</t>
      </text>
    </comment>
    <comment ref="A52" authorId="0" shapeId="0">
      <text>
        <t>Source: final reviewed output — Commercial Due Diligence</t>
      </text>
    </comment>
    <comment ref="A96" authorId="0" shapeId="0">
      <text>
        <t>Source: final reviewed output — Legal &amp; Operational Due Diligence</t>
      </text>
    </comment>
  </commentList>
</comments>
</file>

<file path=xl/comments/comment7.xml><?xml version="1.0" encoding="utf-8"?>
<comments xmlns="http://schemas.openxmlformats.org/spreadsheetml/2006/main">
  <authors>
    <author>Deal Team Model</author>
  </authors>
  <commentList>
    <comment ref="A6" authorId="0" shapeId="0">
      <text>
        <t>Source: final reviewed output — Risk Analyst</t>
      </text>
    </comment>
    <comment ref="A62" authorId="0" shapeId="0">
      <text>
        <t>Source: final IC Partner review</t>
      </text>
    </comment>
  </commentList>
</comments>
</file>

<file path=xl/comments/comment8.xml><?xml version="1.0" encoding="utf-8"?>
<comments xmlns="http://schemas.openxmlformats.org/spreadsheetml/2006/main">
  <authors>
    <author>Deal Team Model</author>
  </authors>
  <commentList>
    <comment ref="A5" authorId="0" shapeId="0">
      <text>
        <t>Source: MemoResult.conclusion</t>
      </text>
    </comment>
    <comment ref="A7" authorId="0" shapeId="0">
      <text>
        <t>Source: final IC memo (MemoResult.memo_text)</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1" summaryRight="1"/>
    <pageSetUpPr fitToPage="1"/>
  </sheetPr>
  <dimension ref="A1:C45"/>
  <sheetViews>
    <sheetView showGridLines="0" workbookViewId="0">
      <pane ySplit="3" topLeftCell="A4" activePane="bottomLeft" state="frozen"/>
      <selection pane="bottomLeft" activeCell="A1" sqref="A1"/>
    </sheetView>
  </sheetViews>
  <sheetFormatPr baseColWidth="8" defaultRowHeight="15"/>
  <cols>
    <col width="44" customWidth="1" min="1" max="1"/>
    <col width="22" customWidth="1" min="2" max="2"/>
    <col width="56" customWidth="1" min="3" max="3"/>
  </cols>
  <sheetData>
    <row r="1">
      <c r="A1" s="1" t="inlineStr">
        <is>
          <t>Investment Committee Summary</t>
        </is>
      </c>
    </row>
    <row r="2">
      <c r="A2" s="2" t="inlineStr">
        <is>
          <t>Generated from deterministic Python calculations and final reviewed AI analyses.</t>
        </is>
      </c>
    </row>
    <row r="3"/>
    <row r="4">
      <c r="A4" s="3" t="inlineStr">
        <is>
          <t>TRANSACTION</t>
        </is>
      </c>
      <c r="B4" s="3" t="n"/>
      <c r="C4" s="3" t="n"/>
    </row>
    <row r="5">
      <c r="A5" s="4" t="inlineStr">
        <is>
          <t>Deal</t>
        </is>
      </c>
      <c r="B5" s="5">
        <f>'Assumptions'!$B$7</f>
        <v/>
      </c>
    </row>
    <row r="6">
      <c r="A6" s="4" t="inlineStr">
        <is>
          <t>Acquirer</t>
        </is>
      </c>
      <c r="B6" s="5">
        <f>'Assumptions'!$B$12</f>
        <v/>
      </c>
    </row>
    <row r="7">
      <c r="A7" s="4" t="inlineStr">
        <is>
          <t>Target</t>
        </is>
      </c>
      <c r="B7" s="5">
        <f>'Assumptions'!$B$22</f>
        <v/>
      </c>
    </row>
    <row r="8">
      <c r="A8" s="4" t="inlineStr">
        <is>
          <t>Offer enterprise value (USD millions)</t>
        </is>
      </c>
      <c r="B8" s="6">
        <f>'Assumptions'!$B$49</f>
        <v/>
      </c>
    </row>
    <row r="9">
      <c r="A9" s="4" t="inlineStr">
        <is>
          <t>Offer equity value (USD millions)</t>
        </is>
      </c>
      <c r="B9" s="6">
        <f>'Transaction Structure'!$B$9</f>
        <v/>
      </c>
    </row>
    <row r="10">
      <c r="A10" s="4" t="inlineStr">
        <is>
          <t>Cash %</t>
        </is>
      </c>
      <c r="B10" s="7">
        <f>'Transaction Structure'!$B$12</f>
        <v/>
      </c>
    </row>
    <row r="11">
      <c r="A11" s="4" t="inlineStr">
        <is>
          <t>Stock %</t>
        </is>
      </c>
      <c r="B11" s="7">
        <f>'Transaction Structure'!$B$13</f>
        <v/>
      </c>
    </row>
    <row r="12">
      <c r="A12" s="4" t="inlineStr">
        <is>
          <t>IC review status</t>
        </is>
      </c>
      <c r="B12" s="8" t="inlineStr">
        <is>
          <t>approved</t>
        </is>
      </c>
    </row>
    <row r="13">
      <c r="A13" s="4" t="inlineStr">
        <is>
          <t>Review rounds used</t>
        </is>
      </c>
      <c r="B13" s="9" t="n">
        <v>1</v>
      </c>
    </row>
    <row r="14"/>
    <row r="15">
      <c r="A15" s="3" t="inlineStr">
        <is>
          <t>VALUATION SNAPSHOT (USD millions, enterprise value)</t>
        </is>
      </c>
      <c r="B15" s="3" t="n"/>
      <c r="C15" s="3" t="n"/>
    </row>
    <row r="16">
      <c r="A16" s="4" t="inlineStr">
        <is>
          <t>Comparable Companies EV</t>
        </is>
      </c>
      <c r="B16" s="6">
        <f>'Valuation'!$B$22</f>
        <v/>
      </c>
    </row>
    <row r="17">
      <c r="A17" s="4" t="inlineStr">
        <is>
          <t>Precedent Transactions EV</t>
        </is>
      </c>
      <c r="B17" s="6">
        <f>'Valuation'!$B$27</f>
        <v/>
      </c>
    </row>
    <row r="18">
      <c r="A18" s="4" t="inlineStr">
        <is>
          <t>DCF EV</t>
        </is>
      </c>
      <c r="B18" s="6">
        <f>'Valuation'!$B$46</f>
        <v/>
      </c>
    </row>
    <row r="19">
      <c r="A19" s="4" t="inlineStr">
        <is>
          <t>Valuation low</t>
        </is>
      </c>
      <c r="B19" s="6">
        <f>'Valuation'!$B$9</f>
        <v/>
      </c>
    </row>
    <row r="20">
      <c r="A20" s="4" t="inlineStr">
        <is>
          <t>Valuation high</t>
        </is>
      </c>
      <c r="B20" s="6">
        <f>'Valuation'!$B$10</f>
        <v/>
      </c>
    </row>
    <row r="21">
      <c r="A21" s="4" t="inlineStr">
        <is>
          <t>Offer EV</t>
        </is>
      </c>
      <c r="B21" s="6">
        <f>'Valuation'!$B$13</f>
        <v/>
      </c>
    </row>
    <row r="22"/>
    <row r="23">
      <c r="A23" s="3" t="inlineStr">
        <is>
          <t>SYNERGY SNAPSHOT (USD millions)</t>
        </is>
      </c>
      <c r="B23" s="3" t="n"/>
      <c r="C23" s="3" t="n"/>
    </row>
    <row r="24">
      <c r="A24" s="4" t="inlineStr">
        <is>
          <t>PV of synergies</t>
        </is>
      </c>
      <c r="B24" s="6">
        <f>'Synergies'!$B$16</f>
        <v/>
      </c>
    </row>
    <row r="25">
      <c r="A25" s="4" t="inlineStr">
        <is>
          <t>Integration cost</t>
        </is>
      </c>
      <c r="B25" s="6">
        <f>'Synergies'!$B$17</f>
        <v/>
      </c>
    </row>
    <row r="26">
      <c r="A26" s="4" t="inlineStr">
        <is>
          <t>Net synergy value</t>
        </is>
      </c>
      <c r="B26" s="6">
        <f>'Synergies'!$B$18</f>
        <v/>
      </c>
      <c r="C26" s="10" t="inlineStr">
        <is>
          <t>Based on unvalidated synergy assumptions.</t>
        </is>
      </c>
    </row>
    <row r="27"/>
    <row r="28">
      <c r="A28" s="3" t="inlineStr">
        <is>
          <t>TRANSACTION SNAPSHOT</t>
        </is>
      </c>
      <c r="B28" s="3" t="n"/>
      <c r="C28" s="3" t="n"/>
    </row>
    <row r="29">
      <c r="A29" s="4" t="inlineStr">
        <is>
          <t>Cash consideration (USD millions)</t>
        </is>
      </c>
      <c r="B29" s="6">
        <f>'Transaction Structure'!$B$14</f>
        <v/>
      </c>
      <c r="C29" s="10" t="inlineStr">
        <is>
          <t>Debt funded under the model convention; not a confirmed plan.</t>
        </is>
      </c>
    </row>
    <row r="30">
      <c r="A30" s="4" t="inlineStr">
        <is>
          <t>Stock consideration (USD millions)</t>
        </is>
      </c>
      <c r="B30" s="6">
        <f>'Transaction Structure'!$B$15</f>
        <v/>
      </c>
    </row>
    <row r="31">
      <c r="A31" s="4" t="inlineStr">
        <is>
          <t>New shares issued (millions)</t>
        </is>
      </c>
      <c r="B31" s="11">
        <f>'Transaction Structure'!$B$30</f>
        <v/>
      </c>
    </row>
    <row r="32">
      <c r="A32" s="4" t="inlineStr">
        <is>
          <t>Seller ownership</t>
        </is>
      </c>
      <c r="B32" s="12">
        <f>'Transaction Structure'!$B$32</f>
        <v/>
      </c>
    </row>
    <row r="33">
      <c r="A33" s="4" t="inlineStr">
        <is>
          <t>EPS result — excluding synergies</t>
        </is>
      </c>
      <c r="B33" s="5">
        <f>'Accretion Dilution'!$B$17</f>
        <v/>
      </c>
    </row>
    <row r="34">
      <c r="A34" s="4" t="inlineStr">
        <is>
          <t>EPS result — including run-rate synergies</t>
        </is>
      </c>
      <c r="B34" s="5">
        <f>'Accretion Dilution'!$B$33</f>
        <v/>
      </c>
      <c r="C34" s="10" t="inlineStr">
        <is>
          <t>Model scenario only; not the expected outcome.</t>
        </is>
      </c>
    </row>
    <row r="35"/>
    <row r="36">
      <c r="A36" s="3" t="inlineStr">
        <is>
          <t>IC CONCLUSION</t>
        </is>
      </c>
      <c r="B36" s="3" t="n"/>
      <c r="C36" s="3" t="n"/>
    </row>
    <row r="37">
      <c r="A37" s="13" t="inlineStr">
        <is>
          <t>Decision deferred pending additional information</t>
        </is>
      </c>
    </row>
    <row r="38"/>
    <row r="39">
      <c r="A39" s="3" t="inlineStr">
        <is>
          <t>KEY UNRESOLVED ITEMS (FINAL IC REVIEW)</t>
        </is>
      </c>
      <c r="B39" s="3" t="n"/>
      <c r="C39" s="3" t="n"/>
    </row>
    <row r="40" ht="40.5" customHeight="1">
      <c r="A40" s="14" t="inlineStr">
        <is>
          <t>• Product, technology, capability, and customer disclosures for EPAM Systems, Inc. are absent from DEAL DATA.</t>
        </is>
      </c>
    </row>
    <row r="41" ht="54" customHeight="1">
      <c r="A41" s="14" t="inlineStr">
        <is>
          <t>• Multi-period financial statements, quality of earnings reports, capex schedules, tax filings, and working capital details for the target are absent from DEAL DATA.</t>
        </is>
      </c>
    </row>
    <row r="42" ht="27" customHeight="1">
      <c r="A42" s="14" t="inlineStr">
        <is>
          <t>• Market size, growth rates, competitive landscape, and pricing power data are absent from DEAL DATA.</t>
        </is>
      </c>
    </row>
    <row r="43" ht="54" customHeight="1">
      <c r="A43" s="14" t="inlineStr">
        <is>
          <t>• Material contracts, change-of-control clauses, litigation records, regulatory compliance filings, IP portfolios, privacy policies, and employee census data are absent from DEAL DATA.</t>
        </is>
      </c>
    </row>
    <row r="44" ht="54" customHeight="1">
      <c r="A44" s="14" t="inlineStr">
        <is>
          <t>• Organizational charts, IT infrastructure inventories, cybersecurity audit reports, vendor contracts, and real estate lease agreements are absent from DEAL DATA.</t>
        </is>
      </c>
    </row>
    <row r="45" ht="54" customHeight="1">
      <c r="A45" s="14" t="inlineStr">
        <is>
          <t>• Committed financing term sheets, definitive debt financing agreements, refinancing terms for target existing debt, rollover equity terms, and purchase-price adjustment mechanisms are absent from DEAL DATA.</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C53"/>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2" customWidth="1" min="3" max="3"/>
  </cols>
  <sheetData>
    <row r="1">
      <c r="A1" s="1" t="inlineStr">
        <is>
          <t>Assumptions — Deal Inputs</t>
        </is>
      </c>
    </row>
    <row r="2">
      <c r="A2" s="2" t="inlineStr">
        <is>
          <t>Generated from deterministic Python calculations and final reviewed AI analyses.</t>
        </is>
      </c>
    </row>
    <row r="3"/>
    <row r="4" ht="40.5" customHeight="1">
      <c r="A4" s="10" t="inlineStr">
        <is>
          <t>Blue font = supplied input. Yellow fill = unverified assumption requiring validation. All monetary values in USD millions.</t>
        </is>
      </c>
    </row>
    <row r="5"/>
    <row r="6">
      <c r="A6" s="3" t="inlineStr">
        <is>
          <t>DEAL OVERVIEW</t>
        </is>
      </c>
      <c r="B6" s="3" t="n"/>
      <c r="C6" s="3" t="n"/>
    </row>
    <row r="7">
      <c r="A7" s="4" t="inlineStr">
        <is>
          <t>Deal name</t>
        </is>
      </c>
      <c r="B7" s="15" t="inlineStr">
        <is>
          <t>Hypothetical: Accenture plc acquiring EPAM Systems, Inc.</t>
        </is>
      </c>
    </row>
    <row r="8">
      <c r="A8" s="4" t="inlineStr">
        <is>
          <t>Currency</t>
        </is>
      </c>
      <c r="B8" s="15" t="inlineStr">
        <is>
          <t>USD</t>
        </is>
      </c>
    </row>
    <row r="9">
      <c r="A9" s="4" t="inlineStr">
        <is>
          <t>Units</t>
        </is>
      </c>
      <c r="B9" s="15" t="inlineStr">
        <is>
          <t>millions</t>
        </is>
      </c>
    </row>
    <row r="10"/>
    <row r="11">
      <c r="A11" s="3" t="inlineStr">
        <is>
          <t>ACQUIRER FINANCIALS</t>
        </is>
      </c>
      <c r="B11" s="3" t="n"/>
      <c r="C11" s="3" t="n"/>
    </row>
    <row r="12">
      <c r="A12" s="4" t="inlineStr">
        <is>
          <t>Acquirer</t>
        </is>
      </c>
      <c r="B12" s="15" t="inlineStr">
        <is>
          <t>Accenture plc</t>
        </is>
      </c>
    </row>
    <row r="13">
      <c r="A13" s="4" t="inlineStr">
        <is>
          <t>Revenue (USD millions)</t>
        </is>
      </c>
      <c r="B13" s="16" t="n">
        <v>69672.977</v>
      </c>
    </row>
    <row r="14">
      <c r="A14" s="4" t="inlineStr">
        <is>
          <t>EBITDA (USD millions)</t>
        </is>
      </c>
      <c r="B14" s="16" t="n">
        <v>11594.049</v>
      </c>
    </row>
    <row r="15">
      <c r="A15" s="4" t="inlineStr">
        <is>
          <t>Net income (USD millions)</t>
        </is>
      </c>
      <c r="B15" s="16" t="n">
        <v>7678.433</v>
      </c>
    </row>
    <row r="16">
      <c r="A16" s="4" t="inlineStr">
        <is>
          <t>Cash (USD millions)</t>
        </is>
      </c>
      <c r="B16" s="16" t="n">
        <v>10165.245</v>
      </c>
    </row>
    <row r="17">
      <c r="A17" s="4" t="inlineStr">
        <is>
          <t>Debt (USD millions)</t>
        </is>
      </c>
      <c r="B17" s="16" t="n">
        <v>5142.265</v>
      </c>
    </row>
    <row r="18">
      <c r="A18" s="4" t="inlineStr">
        <is>
          <t>Acquirer share basis (millions shares)</t>
        </is>
      </c>
      <c r="B18" s="17" t="n">
        <v>612.213453</v>
      </c>
      <c r="C18" s="10" t="inlineStr">
        <is>
          <t>Weighted-average basic shares (modelling proxy)</t>
        </is>
      </c>
    </row>
    <row r="19">
      <c r="A19" s="4" t="inlineStr">
        <is>
          <t>Share price (USD per share)</t>
        </is>
      </c>
      <c r="B19" s="17" t="n">
        <v>198.9</v>
      </c>
    </row>
    <row r="20"/>
    <row r="21">
      <c r="A21" s="3" t="inlineStr">
        <is>
          <t>TARGET FINANCIALS</t>
        </is>
      </c>
      <c r="B21" s="3" t="n"/>
      <c r="C21" s="3" t="n"/>
    </row>
    <row r="22">
      <c r="A22" s="4" t="inlineStr">
        <is>
          <t>Target</t>
        </is>
      </c>
      <c r="B22" s="15" t="inlineStr">
        <is>
          <t>EPAM Systems, Inc.</t>
        </is>
      </c>
    </row>
    <row r="23">
      <c r="A23" s="4" t="inlineStr">
        <is>
          <t>Revenue (USD millions)</t>
        </is>
      </c>
      <c r="B23" s="16" t="n">
        <v>5457.056</v>
      </c>
    </row>
    <row r="24">
      <c r="A24" s="4" t="inlineStr">
        <is>
          <t>EBITDA (USD millions)</t>
        </is>
      </c>
      <c r="B24" s="16" t="n">
        <v>644.814</v>
      </c>
    </row>
    <row r="25">
      <c r="A25" s="4" t="inlineStr">
        <is>
          <t>Net income (USD millions)</t>
        </is>
      </c>
      <c r="B25" s="16" t="n">
        <v>377.678</v>
      </c>
    </row>
    <row r="26">
      <c r="A26" s="4" t="inlineStr">
        <is>
          <t>Free cash flow (USD millions)</t>
        </is>
      </c>
      <c r="B26" s="16" t="n">
        <v>612.691</v>
      </c>
    </row>
    <row r="27">
      <c r="A27" s="4" t="inlineStr">
        <is>
          <t>Cash (USD millions)</t>
        </is>
      </c>
      <c r="B27" s="16" t="n">
        <v>789.397</v>
      </c>
    </row>
    <row r="28">
      <c r="A28" s="4" t="inlineStr">
        <is>
          <t>Debt (USD millions)</t>
        </is>
      </c>
      <c r="B28" s="16" t="n">
        <v>25</v>
      </c>
    </row>
    <row r="29"/>
    <row r="30">
      <c r="A30" s="3" t="inlineStr">
        <is>
          <t>MARKET VALUATION INPUTS</t>
        </is>
      </c>
      <c r="B30" s="3" t="n"/>
      <c r="C30" s="3" t="n"/>
    </row>
    <row r="31">
      <c r="A31" s="4" t="inlineStr">
        <is>
          <t>Comparable EV / EBITDA (x)</t>
        </is>
      </c>
      <c r="B31" s="18" t="n">
        <v>8.199999999999999</v>
      </c>
    </row>
    <row r="32">
      <c r="A32" s="4" t="inlineStr">
        <is>
          <t>Precedent EV / EBITDA (x)</t>
        </is>
      </c>
      <c r="B32" s="18" t="n">
        <v>12.3</v>
      </c>
    </row>
    <row r="33"/>
    <row r="34">
      <c r="A34" s="3" t="inlineStr">
        <is>
          <t>DCF ASSUMPTIONS</t>
        </is>
      </c>
      <c r="B34" s="3" t="n"/>
      <c r="C34" s="3" t="n"/>
    </row>
    <row r="35">
      <c r="A35" s="4" t="inlineStr">
        <is>
          <t>Forecast years</t>
        </is>
      </c>
      <c r="B35" s="19" t="n">
        <v>5</v>
      </c>
    </row>
    <row r="36">
      <c r="A36" s="4" t="inlineStr">
        <is>
          <t>FCF growth rate</t>
        </is>
      </c>
      <c r="B36" s="20" t="n">
        <v>0.08</v>
      </c>
    </row>
    <row r="37">
      <c r="A37" s="4" t="inlineStr">
        <is>
          <t>WACC</t>
        </is>
      </c>
      <c r="B37" s="20" t="n">
        <v>0.105</v>
      </c>
    </row>
    <row r="38">
      <c r="A38" s="4" t="inlineStr">
        <is>
          <t>Terminal growth rate</t>
        </is>
      </c>
      <c r="B38" s="20" t="n">
        <v>0.025</v>
      </c>
    </row>
    <row r="39"/>
    <row r="40">
      <c r="A40" s="3" t="inlineStr">
        <is>
          <t>SYNERGY ASSUMPTIONS (UNVALIDATED)</t>
        </is>
      </c>
      <c r="B40" s="3" t="n"/>
      <c r="C40" s="3" t="n"/>
    </row>
    <row r="41">
      <c r="A41" s="4" t="inlineStr">
        <is>
          <t>Annual cost synergy (USD millions)</t>
        </is>
      </c>
      <c r="B41" s="21" t="n">
        <v>250</v>
      </c>
    </row>
    <row r="42">
      <c r="A42" s="4" t="inlineStr">
        <is>
          <t>Annual revenue synergy EBITDA (USD millions)</t>
        </is>
      </c>
      <c r="B42" s="21" t="n">
        <v>75</v>
      </c>
    </row>
    <row r="43">
      <c r="A43" s="4" t="inlineStr">
        <is>
          <t>Realization years</t>
        </is>
      </c>
      <c r="B43" s="22" t="n">
        <v>5</v>
      </c>
    </row>
    <row r="44">
      <c r="A44" s="4" t="inlineStr">
        <is>
          <t>Synergy tax rate</t>
        </is>
      </c>
      <c r="B44" s="20" t="n">
        <v>0.253</v>
      </c>
    </row>
    <row r="45">
      <c r="A45" s="4" t="inlineStr">
        <is>
          <t>Synergy discount rate</t>
        </is>
      </c>
      <c r="B45" s="20" t="n">
        <v>0.105</v>
      </c>
    </row>
    <row r="46">
      <c r="A46" s="4" t="inlineStr">
        <is>
          <t>Integration cost (USD millions)</t>
        </is>
      </c>
      <c r="B46" s="21" t="n">
        <v>300</v>
      </c>
    </row>
    <row r="47"/>
    <row r="48">
      <c r="A48" s="3" t="inlineStr">
        <is>
          <t>TRANSACTION ASSUMPTIONS</t>
        </is>
      </c>
      <c r="B48" s="3" t="n"/>
      <c r="C48" s="3" t="n"/>
    </row>
    <row r="49">
      <c r="A49" s="4" t="inlineStr">
        <is>
          <t>Offer enterprise value (USD millions)</t>
        </is>
      </c>
      <c r="B49" s="16" t="n">
        <v>6300</v>
      </c>
    </row>
    <row r="50">
      <c r="A50" s="4" t="inlineStr">
        <is>
          <t>Cash percentage</t>
        </is>
      </c>
      <c r="B50" s="23" t="n">
        <v>0.7</v>
      </c>
    </row>
    <row r="51">
      <c r="A51" s="4" t="inlineStr">
        <is>
          <t>Stock percentage</t>
        </is>
      </c>
      <c r="B51" s="23" t="n">
        <v>0.3</v>
      </c>
    </row>
    <row r="52">
      <c r="A52" s="4" t="inlineStr">
        <is>
          <t>New debt interest rate</t>
        </is>
      </c>
      <c r="B52" s="20" t="n">
        <v>0.055</v>
      </c>
      <c r="C52" s="10" t="inlineStr">
        <is>
          <t>Financing modelling convention input; not a confirmed financing term.</t>
        </is>
      </c>
    </row>
    <row r="53">
      <c r="A53" s="4" t="inlineStr">
        <is>
          <t>Transaction tax rate</t>
        </is>
      </c>
      <c r="B53" s="23" t="n">
        <v>0.253</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D53"/>
  <sheetViews>
    <sheetView showGridLines="0"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34" customWidth="1" min="5" max="5"/>
    <col width="16" customWidth="1" min="6" max="6"/>
  </cols>
  <sheetData>
    <row r="1">
      <c r="A1" s="1" t="inlineStr">
        <is>
          <t>Valuation Analysis</t>
        </is>
      </c>
    </row>
    <row r="2">
      <c r="A2" s="2" t="inlineStr">
        <is>
          <t>Generated from deterministic Python calculations and final reviewed AI analyses.</t>
        </is>
      </c>
    </row>
    <row r="3"/>
    <row r="4">
      <c r="A4" s="3" t="inlineStr">
        <is>
          <t>VALUATION SUMMARY</t>
        </is>
      </c>
      <c r="B4" s="3" t="n"/>
      <c r="C4" s="3" t="n"/>
    </row>
    <row r="5">
      <c r="A5" s="24" t="inlineStr">
        <is>
          <t>Method</t>
        </is>
      </c>
      <c r="B5" s="25" t="inlineStr">
        <is>
          <t>Enterprise value (USD millions)</t>
        </is>
      </c>
      <c r="C5" s="25" t="inlineStr">
        <is>
          <t>Offer EV vs method</t>
        </is>
      </c>
    </row>
    <row r="6">
      <c r="A6" s="4" t="inlineStr">
        <is>
          <t>Comparable Companies</t>
        </is>
      </c>
      <c r="B6" s="26">
        <f>$B$22</f>
        <v/>
      </c>
      <c r="C6" s="8" t="inlineStr">
        <is>
          <t>above</t>
        </is>
      </c>
    </row>
    <row r="7">
      <c r="A7" s="4" t="inlineStr">
        <is>
          <t>Precedent Transactions</t>
        </is>
      </c>
      <c r="B7" s="26">
        <f>$B$27</f>
        <v/>
      </c>
      <c r="C7" s="8" t="inlineStr">
        <is>
          <t>below</t>
        </is>
      </c>
    </row>
    <row r="8">
      <c r="A8" s="4" t="inlineStr">
        <is>
          <t>Discounted Cash Flow</t>
        </is>
      </c>
      <c r="B8" s="26">
        <f>$B$46</f>
        <v/>
      </c>
      <c r="C8" s="8" t="inlineStr">
        <is>
          <t>below</t>
        </is>
      </c>
    </row>
    <row r="9">
      <c r="A9" s="4" t="inlineStr">
        <is>
          <t>Low</t>
        </is>
      </c>
      <c r="B9" s="26">
        <f>MIN(B6:B8)</f>
        <v/>
      </c>
    </row>
    <row r="10">
      <c r="A10" s="4" t="inlineStr">
        <is>
          <t>High</t>
        </is>
      </c>
      <c r="B10" s="26">
        <f>MAX(B6:B8)</f>
        <v/>
      </c>
    </row>
    <row r="11">
      <c r="A11" s="4" t="inlineStr">
        <is>
          <t>Midpoint</t>
        </is>
      </c>
      <c r="B11" s="26">
        <f>(B9+B10)/2</f>
        <v/>
      </c>
    </row>
    <row r="12">
      <c r="A12" s="4" t="inlineStr">
        <is>
          <t>Average</t>
        </is>
      </c>
      <c r="B12" s="26">
        <f>AVERAGE(B6:B8)</f>
        <v/>
      </c>
    </row>
    <row r="13">
      <c r="A13" s="4" t="inlineStr">
        <is>
          <t>Offer Enterprise Value</t>
        </is>
      </c>
      <c r="B13" s="27">
        <f>'Assumptions'!$B$49</f>
        <v/>
      </c>
      <c r="C13" s="8" t="inlineStr">
        <is>
          <t>Offer vs range: within</t>
        </is>
      </c>
    </row>
    <row r="14" ht="54" customHeight="1">
      <c r="A14" s="10" t="inlineStr">
        <is>
          <t>Low method: Comparable Companies; high method: Discounted Cash Flow. Relationship labels are deterministic Python outputs; no premium or discount is calculated.</t>
        </is>
      </c>
    </row>
    <row r="15"/>
    <row r="16"/>
    <row r="17"/>
    <row r="18"/>
    <row r="19">
      <c r="A19" s="3" t="inlineStr">
        <is>
          <t>COMPARABLE COMPANIES</t>
        </is>
      </c>
      <c r="B19" s="3" t="n"/>
      <c r="C19" s="3" t="n"/>
      <c r="D19" s="3" t="n"/>
    </row>
    <row r="20">
      <c r="A20" s="4" t="inlineStr">
        <is>
          <t>Target EBITDA (USD millions)</t>
        </is>
      </c>
      <c r="B20" s="6">
        <f>'Assumptions'!$B$24</f>
        <v/>
      </c>
    </row>
    <row r="21">
      <c r="A21" s="4" t="inlineStr">
        <is>
          <t>Comparable EV / EBITDA (x)</t>
        </is>
      </c>
      <c r="B21" s="28">
        <f>'Assumptions'!$B$31</f>
        <v/>
      </c>
    </row>
    <row r="22">
      <c r="A22" s="4" t="inlineStr">
        <is>
          <t>Implied Enterprise value (USD millions)</t>
        </is>
      </c>
      <c r="B22" s="26">
        <f>B20*B21</f>
        <v/>
      </c>
    </row>
    <row r="23"/>
    <row r="24">
      <c r="A24" s="3" t="inlineStr">
        <is>
          <t>PRECEDENT TRANSACTIONS</t>
        </is>
      </c>
      <c r="B24" s="3" t="n"/>
      <c r="C24" s="3" t="n"/>
      <c r="D24" s="3" t="n"/>
    </row>
    <row r="25">
      <c r="A25" s="4" t="inlineStr">
        <is>
          <t>Target EBITDA (USD millions)</t>
        </is>
      </c>
      <c r="B25" s="6">
        <f>'Assumptions'!$B$24</f>
        <v/>
      </c>
    </row>
    <row r="26">
      <c r="A26" s="4" t="inlineStr">
        <is>
          <t>Precedent EV / EBITDA (x)</t>
        </is>
      </c>
      <c r="B26" s="28">
        <f>'Assumptions'!$B$32</f>
        <v/>
      </c>
    </row>
    <row r="27">
      <c r="A27" s="4" t="inlineStr">
        <is>
          <t>Implied Enterprise value (USD millions)</t>
        </is>
      </c>
      <c r="B27" s="26">
        <f>B25*B26</f>
        <v/>
      </c>
    </row>
    <row r="28"/>
    <row r="29">
      <c r="A29" s="3" t="inlineStr">
        <is>
          <t>DISCOUNTED CASH FLOW</t>
        </is>
      </c>
      <c r="B29" s="3" t="n"/>
      <c r="C29" s="3" t="n"/>
      <c r="D29" s="3" t="n"/>
    </row>
    <row r="30">
      <c r="A30" s="4" t="inlineStr">
        <is>
          <t>Base free cash flow (USD millions)</t>
        </is>
      </c>
      <c r="B30" s="6">
        <f>'Assumptions'!$B$26</f>
        <v/>
      </c>
    </row>
    <row r="31">
      <c r="A31" s="4" t="inlineStr">
        <is>
          <t>FCF growth rate</t>
        </is>
      </c>
      <c r="B31" s="7">
        <f>'Assumptions'!$B$36</f>
        <v/>
      </c>
    </row>
    <row r="32">
      <c r="A32" s="4" t="inlineStr">
        <is>
          <t>WACC</t>
        </is>
      </c>
      <c r="B32" s="7">
        <f>'Assumptions'!$B$37</f>
        <v/>
      </c>
    </row>
    <row r="33">
      <c r="A33" s="4" t="inlineStr">
        <is>
          <t>Terminal growth rate</t>
        </is>
      </c>
      <c r="B33" s="7">
        <f>'Assumptions'!$B$38</f>
        <v/>
      </c>
    </row>
    <row r="34">
      <c r="A34" s="4" t="inlineStr">
        <is>
          <t>Forecast years</t>
        </is>
      </c>
      <c r="B34" s="29">
        <f>'Assumptions'!$B$35</f>
        <v/>
      </c>
    </row>
    <row r="35"/>
    <row r="36">
      <c r="A36" s="24" t="inlineStr">
        <is>
          <t>Year</t>
        </is>
      </c>
      <c r="B36" s="25" t="inlineStr">
        <is>
          <t>FCF (USD millions)</t>
        </is>
      </c>
      <c r="C36" s="25" t="inlineStr">
        <is>
          <t>Discount factor</t>
        </is>
      </c>
      <c r="D36" s="25" t="inlineStr">
        <is>
          <t>Discounted FCF (USD millions)</t>
        </is>
      </c>
    </row>
    <row r="37">
      <c r="A37" s="30" t="n">
        <v>1</v>
      </c>
      <c r="B37" s="31">
        <f>B30*(1+B31)^A37</f>
        <v/>
      </c>
      <c r="C37" s="32">
        <f>1/(1+B32)^A37</f>
        <v/>
      </c>
      <c r="D37" s="31">
        <f>B37*C37</f>
        <v/>
      </c>
    </row>
    <row r="38">
      <c r="A38" s="30" t="n">
        <v>2</v>
      </c>
      <c r="B38" s="31">
        <f>B30*(1+B31)^A38</f>
        <v/>
      </c>
      <c r="C38" s="32">
        <f>1/(1+B32)^A38</f>
        <v/>
      </c>
      <c r="D38" s="31">
        <f>B38*C38</f>
        <v/>
      </c>
    </row>
    <row r="39">
      <c r="A39" s="30" t="n">
        <v>3</v>
      </c>
      <c r="B39" s="31">
        <f>B30*(1+B31)^A39</f>
        <v/>
      </c>
      <c r="C39" s="32">
        <f>1/(1+B32)^A39</f>
        <v/>
      </c>
      <c r="D39" s="31">
        <f>B39*C39</f>
        <v/>
      </c>
    </row>
    <row r="40">
      <c r="A40" s="30" t="n">
        <v>4</v>
      </c>
      <c r="B40" s="31">
        <f>B30*(1+B31)^A40</f>
        <v/>
      </c>
      <c r="C40" s="32">
        <f>1/(1+B32)^A40</f>
        <v/>
      </c>
      <c r="D40" s="31">
        <f>B40*C40</f>
        <v/>
      </c>
    </row>
    <row r="41">
      <c r="A41" s="30" t="n">
        <v>5</v>
      </c>
      <c r="B41" s="31">
        <f>B30*(1+B31)^A41</f>
        <v/>
      </c>
      <c r="C41" s="32">
        <f>1/(1+B32)^A41</f>
        <v/>
      </c>
      <c r="D41" s="31">
        <f>B41*C41</f>
        <v/>
      </c>
    </row>
    <row r="42"/>
    <row r="43">
      <c r="A43" s="4" t="inlineStr">
        <is>
          <t>PV of forecast FCF (USD millions)</t>
        </is>
      </c>
      <c r="B43" s="31">
        <f>SUM(D37:D41)</f>
        <v/>
      </c>
    </row>
    <row r="44">
      <c r="A44" s="4" t="inlineStr">
        <is>
          <t>Terminal value (USD millions)</t>
        </is>
      </c>
      <c r="B44" s="31">
        <f>B41*(1+B33)/(B32-B33)</f>
        <v/>
      </c>
    </row>
    <row r="45">
      <c r="A45" s="4" t="inlineStr">
        <is>
          <t>Discounted terminal value (USD millions)</t>
        </is>
      </c>
      <c r="B45" s="31">
        <f>B44*C41</f>
        <v/>
      </c>
    </row>
    <row r="46">
      <c r="A46" s="4" t="inlineStr">
        <is>
          <t>DCF Enterprise value (USD millions)</t>
        </is>
      </c>
      <c r="B46" s="33">
        <f>B43+B45</f>
        <v/>
      </c>
    </row>
    <row r="47">
      <c r="A47" s="4" t="inlineStr">
        <is>
          <t>Terminal value share of EV</t>
        </is>
      </c>
      <c r="B47" s="34">
        <f>B45/B46</f>
        <v/>
      </c>
    </row>
    <row r="48"/>
    <row r="49">
      <c r="A49" s="3" t="inlineStr">
        <is>
          <t>CHART DATA — ENTERPRISE VALUE COMPARISON</t>
        </is>
      </c>
      <c r="B49" s="3" t="n"/>
    </row>
    <row r="50">
      <c r="A50" s="4" t="inlineStr">
        <is>
          <t>Comparable Companies</t>
        </is>
      </c>
      <c r="B50" s="26">
        <f>$B$22</f>
        <v/>
      </c>
    </row>
    <row r="51">
      <c r="A51" s="4" t="inlineStr">
        <is>
          <t>Precedent Transactions</t>
        </is>
      </c>
      <c r="B51" s="26">
        <f>$B$27</f>
        <v/>
      </c>
    </row>
    <row r="52">
      <c r="A52" s="4" t="inlineStr">
        <is>
          <t>DCF</t>
        </is>
      </c>
      <c r="B52" s="26">
        <f>$B$46</f>
        <v/>
      </c>
    </row>
    <row r="53">
      <c r="A53" s="4" t="inlineStr">
        <is>
          <t>Offer EV</t>
        </is>
      </c>
      <c r="B53" s="26">
        <f>$B$13</f>
        <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22" customWidth="1" min="4" max="4"/>
  </cols>
  <sheetData>
    <row r="1">
      <c r="A1" s="1" t="inlineStr">
        <is>
          <t>Synergy Analysis</t>
        </is>
      </c>
    </row>
    <row r="2">
      <c r="A2" s="2" t="inlineStr">
        <is>
          <t>Generated from deterministic Python calculations and final reviewed AI analyses.</t>
        </is>
      </c>
    </row>
    <row r="3"/>
    <row r="4">
      <c r="A4" s="3" t="inlineStr">
        <is>
          <t>SYNERGY ASSUMPTIONS (UNVALIDATED — LINKED TO ASSUMPTIONS)</t>
        </is>
      </c>
      <c r="B4" s="3" t="n"/>
      <c r="C4" s="3" t="n"/>
      <c r="D4" s="3" t="n"/>
    </row>
    <row r="5">
      <c r="A5" s="4" t="inlineStr">
        <is>
          <t>Annual cost synergy (USD millions)</t>
        </is>
      </c>
      <c r="B5" s="35">
        <f>'Assumptions'!$B$41</f>
        <v/>
      </c>
    </row>
    <row r="6">
      <c r="A6" s="4" t="inlineStr">
        <is>
          <t>Annual revenue synergy EBITDA (USD millions)</t>
        </is>
      </c>
      <c r="B6" s="35">
        <f>'Assumptions'!$B$42</f>
        <v/>
      </c>
    </row>
    <row r="7">
      <c r="A7" s="4" t="inlineStr">
        <is>
          <t>Realization years</t>
        </is>
      </c>
      <c r="B7" s="36">
        <f>'Assumptions'!$B$43</f>
        <v/>
      </c>
    </row>
    <row r="8">
      <c r="A8" s="4" t="inlineStr">
        <is>
          <t>Tax rate</t>
        </is>
      </c>
      <c r="B8" s="7">
        <f>'Assumptions'!$B$44</f>
        <v/>
      </c>
    </row>
    <row r="9">
      <c r="A9" s="4" t="inlineStr">
        <is>
          <t>Discount rate</t>
        </is>
      </c>
      <c r="B9" s="7">
        <f>'Assumptions'!$B$45</f>
        <v/>
      </c>
    </row>
    <row r="10"/>
    <row r="11">
      <c r="A11" s="3" t="inlineStr">
        <is>
          <t>SYNERGY VALUATION</t>
        </is>
      </c>
      <c r="B11" s="3" t="n"/>
      <c r="C11" s="3" t="n"/>
      <c r="D11" s="3" t="n"/>
    </row>
    <row r="12">
      <c r="A12" s="4" t="inlineStr">
        <is>
          <t>Annual cost synergy (USD millions)</t>
        </is>
      </c>
      <c r="B12" s="26">
        <f>B5</f>
        <v/>
      </c>
    </row>
    <row r="13">
      <c r="A13" s="4" t="inlineStr">
        <is>
          <t>Annual revenue synergy EBITDA (USD millions)</t>
        </is>
      </c>
      <c r="B13" s="26">
        <f>B6</f>
        <v/>
      </c>
    </row>
    <row r="14">
      <c r="A14" s="4" t="inlineStr">
        <is>
          <t>Annual pre-tax synergies (USD millions)</t>
        </is>
      </c>
      <c r="B14" s="31">
        <f>B5+B6</f>
        <v/>
      </c>
    </row>
    <row r="15">
      <c r="A15" s="4" t="inlineStr">
        <is>
          <t>Annual after-tax synergies (USD millions)</t>
        </is>
      </c>
      <c r="B15" s="31">
        <f>B14*(1-B8)</f>
        <v/>
      </c>
    </row>
    <row r="16">
      <c r="A16" s="4" t="inlineStr">
        <is>
          <t>PV of synergies (USD millions)</t>
        </is>
      </c>
      <c r="B16" s="31">
        <f>SUM(D22:D26)</f>
        <v/>
      </c>
    </row>
    <row r="17">
      <c r="A17" s="4" t="inlineStr">
        <is>
          <t>Integration cost (at close) (USD millions)</t>
        </is>
      </c>
      <c r="B17" s="35">
        <f>'Assumptions'!$B$46</f>
        <v/>
      </c>
    </row>
    <row r="18">
      <c r="A18" s="4" t="inlineStr">
        <is>
          <t>Net synergy value (USD millions)</t>
        </is>
      </c>
      <c r="B18" s="33">
        <f>B16-B17</f>
        <v/>
      </c>
      <c r="C18" s="8" t="inlineStr">
        <is>
          <t>Status: positive</t>
        </is>
      </c>
    </row>
    <row r="19"/>
    <row r="20">
      <c r="A20" s="3" t="inlineStr">
        <is>
          <t>DISCOUNTED SYNERGY SCHEDULE</t>
        </is>
      </c>
      <c r="B20" s="3" t="n"/>
      <c r="C20" s="3" t="n"/>
      <c r="D20" s="3" t="n"/>
    </row>
    <row r="21">
      <c r="A21" s="24" t="inlineStr">
        <is>
          <t>Year</t>
        </is>
      </c>
      <c r="B21" s="25" t="inlineStr">
        <is>
          <t>After-tax synergy (USD millions)</t>
        </is>
      </c>
      <c r="C21" s="25" t="inlineStr">
        <is>
          <t>Discount factor</t>
        </is>
      </c>
      <c r="D21" s="25" t="inlineStr">
        <is>
          <t>Discounted synergy (USD millions)</t>
        </is>
      </c>
    </row>
    <row r="22">
      <c r="A22" s="30" t="n">
        <v>1</v>
      </c>
      <c r="B22" s="31">
        <f>B15</f>
        <v/>
      </c>
      <c r="C22" s="32">
        <f>1/(1+B9)^A22</f>
        <v/>
      </c>
      <c r="D22" s="31">
        <f>B22*C22</f>
        <v/>
      </c>
    </row>
    <row r="23">
      <c r="A23" s="30" t="n">
        <v>2</v>
      </c>
      <c r="B23" s="31">
        <f>B15</f>
        <v/>
      </c>
      <c r="C23" s="32">
        <f>1/(1+B9)^A23</f>
        <v/>
      </c>
      <c r="D23" s="31">
        <f>B23*C23</f>
        <v/>
      </c>
    </row>
    <row r="24">
      <c r="A24" s="30" t="n">
        <v>3</v>
      </c>
      <c r="B24" s="31">
        <f>B15</f>
        <v/>
      </c>
      <c r="C24" s="32">
        <f>1/(1+B9)^A24</f>
        <v/>
      </c>
      <c r="D24" s="31">
        <f>B24*C24</f>
        <v/>
      </c>
    </row>
    <row r="25">
      <c r="A25" s="30" t="n">
        <v>4</v>
      </c>
      <c r="B25" s="31">
        <f>B15</f>
        <v/>
      </c>
      <c r="C25" s="32">
        <f>1/(1+B9)^A25</f>
        <v/>
      </c>
      <c r="D25" s="31">
        <f>B25*C25</f>
        <v/>
      </c>
    </row>
    <row r="26">
      <c r="A26" s="30" t="n">
        <v>5</v>
      </c>
      <c r="B26" s="31">
        <f>B15</f>
        <v/>
      </c>
      <c r="C26" s="32">
        <f>1/(1+B9)^A26</f>
        <v/>
      </c>
      <c r="D26" s="31">
        <f>B26*C26</f>
        <v/>
      </c>
    </row>
    <row r="27"/>
    <row r="28">
      <c r="A28" s="3" t="inlineStr">
        <is>
          <t>MODELLING CONVENTIONS</t>
        </is>
      </c>
      <c r="B28" s="3" t="n"/>
      <c r="C28" s="3" t="n"/>
      <c r="D28" s="3" t="n"/>
    </row>
    <row r="29" ht="27" customHeight="1">
      <c r="A29" s="14" t="inlineStr">
        <is>
          <t>• Full run-rate synergies from year one (no ramp-up).</t>
        </is>
      </c>
    </row>
    <row r="30" ht="27" customHeight="1">
      <c r="A30" s="14" t="inlineStr">
        <is>
          <t>• Finite realization period; no terminal synergy value.</t>
        </is>
      </c>
    </row>
    <row r="31" ht="27" customHeight="1">
      <c r="A31" s="14" t="inlineStr">
        <is>
          <t>• Integration cost is incurred at close, undiscounted and not tax-deductible.</t>
        </is>
      </c>
    </row>
    <row r="32" ht="27" customHeight="1">
      <c r="A32" s="14" t="inlineStr">
        <is>
          <t>• Synergy assumptions are unvalidated DEAL DATA assumptions.</t>
        </is>
      </c>
    </row>
    <row r="33" ht="27" customHeight="1">
      <c r="A33" s="14" t="inlineStr">
        <is>
          <t>• Integration cost vs PV of synergies (deterministic label): below.</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33"/>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0" customWidth="1" min="3" max="3"/>
  </cols>
  <sheetData>
    <row r="1">
      <c r="A1" s="1" t="inlineStr">
        <is>
          <t>Transaction Structure</t>
        </is>
      </c>
    </row>
    <row r="2">
      <c r="A2" s="2" t="inlineStr">
        <is>
          <t>Generated from deterministic Python calculations and final reviewed AI analyses.</t>
        </is>
      </c>
    </row>
    <row r="3"/>
    <row r="4">
      <c r="A4" s="3" t="inlineStr">
        <is>
          <t>PURCHASE PRICE</t>
        </is>
      </c>
      <c r="B4" s="3" t="n"/>
      <c r="C4" s="3" t="n"/>
    </row>
    <row r="5">
      <c r="A5" s="4" t="inlineStr">
        <is>
          <t>Offer enterprise value (USD millions)</t>
        </is>
      </c>
      <c r="B5" s="6">
        <f>'Assumptions'!$B$49</f>
        <v/>
      </c>
    </row>
    <row r="6">
      <c r="A6" s="4" t="inlineStr">
        <is>
          <t>Target debt (USD millions)</t>
        </is>
      </c>
      <c r="B6" s="6">
        <f>'Assumptions'!$B$28</f>
        <v/>
      </c>
    </row>
    <row r="7">
      <c r="A7" s="4" t="inlineStr">
        <is>
          <t>Target cash (USD millions)</t>
        </is>
      </c>
      <c r="B7" s="6">
        <f>'Assumptions'!$B$27</f>
        <v/>
      </c>
    </row>
    <row r="8">
      <c r="A8" s="4" t="inlineStr">
        <is>
          <t>Target net debt (USD millions)</t>
        </is>
      </c>
      <c r="B8" s="26">
        <f>B6-B7</f>
        <v/>
      </c>
    </row>
    <row r="9">
      <c r="A9" s="4" t="inlineStr">
        <is>
          <t>Offer equity value (USD millions)</t>
        </is>
      </c>
      <c r="B9" s="37">
        <f>B5-B8</f>
        <v/>
      </c>
    </row>
    <row r="10"/>
    <row r="11">
      <c r="A11" s="3" t="inlineStr">
        <is>
          <t>CONSIDERATION</t>
        </is>
      </c>
      <c r="B11" s="3" t="n"/>
      <c r="C11" s="3" t="n"/>
    </row>
    <row r="12">
      <c r="A12" s="4" t="inlineStr">
        <is>
          <t>Cash %</t>
        </is>
      </c>
      <c r="B12" s="7">
        <f>'Assumptions'!$B$50</f>
        <v/>
      </c>
    </row>
    <row r="13">
      <c r="A13" s="4" t="inlineStr">
        <is>
          <t>Stock %</t>
        </is>
      </c>
      <c r="B13" s="7">
        <f>'Assumptions'!$B$51</f>
        <v/>
      </c>
    </row>
    <row r="14">
      <c r="A14" s="4" t="inlineStr">
        <is>
          <t>Cash consideration (USD millions)</t>
        </is>
      </c>
      <c r="B14" s="26">
        <f>B9*B12</f>
        <v/>
      </c>
    </row>
    <row r="15">
      <c r="A15" s="4" t="inlineStr">
        <is>
          <t>Stock consideration (USD millions)</t>
        </is>
      </c>
      <c r="B15" s="26">
        <f>B9*B13</f>
        <v/>
      </c>
    </row>
    <row r="16"/>
    <row r="17">
      <c r="A17" s="3" t="inlineStr">
        <is>
          <t>FINANCING MODEL CONVENTION</t>
        </is>
      </c>
      <c r="B17" s="3" t="n"/>
      <c r="C17" s="3" t="n"/>
    </row>
    <row r="18" ht="40.5" customHeight="1">
      <c r="A18" s="14" t="inlineStr">
        <is>
          <t>The model assumes the cash portion of the equity purchase price is funded entirely with new debt at the supplied new-debt interest rate.</t>
        </is>
      </c>
    </row>
    <row r="19" ht="27" customHeight="1">
      <c r="A19" s="38" t="inlineStr">
        <is>
          <t>This is a modelling convention, NOT a confirmed financing plan.</t>
        </is>
      </c>
    </row>
    <row r="20">
      <c r="A20" s="4" t="inlineStr">
        <is>
          <t>New debt under model convention (USD millions)</t>
        </is>
      </c>
      <c r="B20" s="26">
        <f>B14</f>
        <v/>
      </c>
    </row>
    <row r="21">
      <c r="A21" s="4" t="inlineStr">
        <is>
          <t>New debt interest rate</t>
        </is>
      </c>
      <c r="B21" s="39">
        <f>'Assumptions'!$B$52</f>
        <v/>
      </c>
    </row>
    <row r="22">
      <c r="A22" s="4" t="inlineStr">
        <is>
          <t>Pre-tax interest expense (USD millions)</t>
        </is>
      </c>
      <c r="B22" s="31">
        <f>B20*B21</f>
        <v/>
      </c>
    </row>
    <row r="23">
      <c r="A23" s="4" t="inlineStr">
        <is>
          <t>Tax rate</t>
        </is>
      </c>
      <c r="B23" s="7">
        <f>'Assumptions'!$B$53</f>
        <v/>
      </c>
    </row>
    <row r="24">
      <c r="A24" s="4" t="inlineStr">
        <is>
          <t>After-tax interest expense (USD millions)</t>
        </is>
      </c>
      <c r="B24" s="31">
        <f>B22*(1-B23)</f>
        <v/>
      </c>
    </row>
    <row r="25" ht="27" customHeight="1">
      <c r="A25" s="10" t="inlineStr">
        <is>
          <t>Not modelled: leverage, debt capacity, covenant headroom, or credit-rating impact.</t>
        </is>
      </c>
    </row>
    <row r="26"/>
    <row r="27">
      <c r="A27" s="3" t="inlineStr">
        <is>
          <t>SHARE ISSUANCE / OWNERSHIP</t>
        </is>
      </c>
      <c r="B27" s="3" t="n"/>
      <c r="C27" s="3" t="n"/>
    </row>
    <row r="28">
      <c r="A28" s="4" t="inlineStr">
        <is>
          <t>Acquirer share price (USD per share)</t>
        </is>
      </c>
      <c r="B28" s="11">
        <f>'Assumptions'!$B$19</f>
        <v/>
      </c>
    </row>
    <row r="29">
      <c r="A29" s="4" t="inlineStr">
        <is>
          <t>Existing shares (millions)</t>
        </is>
      </c>
      <c r="B29" s="11">
        <f>'Assumptions'!$B$18</f>
        <v/>
      </c>
    </row>
    <row r="30">
      <c r="A30" s="4" t="inlineStr">
        <is>
          <t>New shares issued (millions)</t>
        </is>
      </c>
      <c r="B30" s="40">
        <f>B15/B28</f>
        <v/>
      </c>
    </row>
    <row r="31">
      <c r="A31" s="4" t="inlineStr">
        <is>
          <t>Pro forma shares (millions)</t>
        </is>
      </c>
      <c r="B31" s="40">
        <f>B29+B30</f>
        <v/>
      </c>
    </row>
    <row r="32">
      <c r="A32" s="4" t="inlineStr">
        <is>
          <t>Seller ownership</t>
        </is>
      </c>
      <c r="B32" s="41">
        <f>B30/B31</f>
        <v/>
      </c>
    </row>
    <row r="33">
      <c r="A33" s="4" t="inlineStr">
        <is>
          <t>Existing acquirer holder ownership</t>
        </is>
      </c>
      <c r="B33" s="41">
        <f>1-B32</f>
        <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35"/>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0" customWidth="1" min="3" max="3"/>
  </cols>
  <sheetData>
    <row r="1">
      <c r="A1" s="1" t="inlineStr">
        <is>
          <t>Accretion / Dilution</t>
        </is>
      </c>
    </row>
    <row r="2">
      <c r="A2" s="2" t="inlineStr">
        <is>
          <t>Generated from deterministic Python calculations and final reviewed AI analyses.</t>
        </is>
      </c>
    </row>
    <row r="3"/>
    <row r="4">
      <c r="A4" s="3" t="inlineStr">
        <is>
          <t>CASE A — EXCLUDING SYNERGIES</t>
        </is>
      </c>
      <c r="B4" s="3" t="n"/>
      <c r="C4" s="3" t="n"/>
    </row>
    <row r="5">
      <c r="A5" s="4" t="inlineStr">
        <is>
          <t>Acquirer standalone net income (USD millions)</t>
        </is>
      </c>
      <c r="B5" s="6">
        <f>'Assumptions'!$B$15</f>
        <v/>
      </c>
    </row>
    <row r="6">
      <c r="A6" s="4" t="inlineStr">
        <is>
          <t>Target net income (USD millions)</t>
        </is>
      </c>
      <c r="B6" s="6">
        <f>'Assumptions'!$B$25</f>
        <v/>
      </c>
    </row>
    <row r="7">
      <c r="A7" s="4" t="inlineStr">
        <is>
          <t>After-tax interest expense (USD millions)</t>
        </is>
      </c>
      <c r="B7" s="42">
        <f>'Transaction Structure'!$B$24</f>
        <v/>
      </c>
    </row>
    <row r="8">
      <c r="A8" s="4" t="inlineStr">
        <is>
          <t>Synergy contribution (USD millions)</t>
        </is>
      </c>
      <c r="B8" s="31" t="n">
        <v>0</v>
      </c>
    </row>
    <row r="9">
      <c r="A9" s="4" t="inlineStr">
        <is>
          <t>Pro forma net income (USD millions)</t>
        </is>
      </c>
      <c r="B9" s="31">
        <f>B5+B6-B7+B8</f>
        <v/>
      </c>
    </row>
    <row r="10">
      <c r="A10" s="4" t="inlineStr">
        <is>
          <t>Existing shares (millions)</t>
        </is>
      </c>
      <c r="B10" s="11">
        <f>'Assumptions'!$B$18</f>
        <v/>
      </c>
    </row>
    <row r="11">
      <c r="A11" s="4" t="inlineStr">
        <is>
          <t>New shares issued (millions)</t>
        </is>
      </c>
      <c r="B11" s="11">
        <f>'Transaction Structure'!$B$30</f>
        <v/>
      </c>
    </row>
    <row r="12">
      <c r="A12" s="4" t="inlineStr">
        <is>
          <t>Pro forma shares (millions)</t>
        </is>
      </c>
      <c r="B12" s="40">
        <f>B10+B11</f>
        <v/>
      </c>
    </row>
    <row r="13">
      <c r="A13" s="4" t="inlineStr">
        <is>
          <t>Standalone EPS (USD per share)</t>
        </is>
      </c>
      <c r="B13" s="43">
        <f>B5/B10</f>
        <v/>
      </c>
    </row>
    <row r="14">
      <c r="A14" s="4" t="inlineStr">
        <is>
          <t>Pro forma EPS (USD per share)</t>
        </is>
      </c>
      <c r="B14" s="43">
        <f>B9/B12</f>
        <v/>
      </c>
    </row>
    <row r="15">
      <c r="A15" s="4" t="inlineStr">
        <is>
          <t>EPS change (USD per share)</t>
        </is>
      </c>
      <c r="B15" s="43">
        <f>B14-B13</f>
        <v/>
      </c>
    </row>
    <row r="16">
      <c r="A16" s="4" t="inlineStr">
        <is>
          <t>EPS change %</t>
        </is>
      </c>
      <c r="B16" s="34">
        <f>IF(B13=0,"n/a",B15/ABS(B13))</f>
        <v/>
      </c>
    </row>
    <row r="17">
      <c r="A17" s="4" t="inlineStr">
        <is>
          <t>Result</t>
        </is>
      </c>
      <c r="B17" s="44">
        <f>IF(ABS(B15)&lt;1E-12,"Neutral",IF(B15&gt;0,"Accretive","Dilutive"))</f>
        <v/>
      </c>
    </row>
    <row r="18"/>
    <row r="19">
      <c r="A19" s="3" t="inlineStr">
        <is>
          <t>CASE B — INCLUDING FULL RUN-RATE SYNERGIES</t>
        </is>
      </c>
      <c r="B19" s="3" t="n"/>
      <c r="C19" s="3" t="n"/>
    </row>
    <row r="20" ht="40.5" customHeight="1">
      <c r="A20" s="38" t="inlineStr">
        <is>
          <t>Synergy-inclusive accretion assumes full supplied run-rate synergies and should not be interpreted as the expected outcome.</t>
        </is>
      </c>
    </row>
    <row r="21">
      <c r="A21" s="4" t="inlineStr">
        <is>
          <t>Acquirer standalone net income (USD millions)</t>
        </is>
      </c>
      <c r="B21" s="6">
        <f>'Assumptions'!$B$15</f>
        <v/>
      </c>
    </row>
    <row r="22">
      <c r="A22" s="4" t="inlineStr">
        <is>
          <t>Target net income (USD millions)</t>
        </is>
      </c>
      <c r="B22" s="6">
        <f>'Assumptions'!$B$25</f>
        <v/>
      </c>
    </row>
    <row r="23">
      <c r="A23" s="4" t="inlineStr">
        <is>
          <t>After-tax interest expense (USD millions)</t>
        </is>
      </c>
      <c r="B23" s="42">
        <f>'Transaction Structure'!$B$24</f>
        <v/>
      </c>
    </row>
    <row r="24">
      <c r="A24" s="4" t="inlineStr">
        <is>
          <t>Synergy contribution (after tax) (USD millions)</t>
        </is>
      </c>
      <c r="B24" s="45">
        <f>'Synergies'!$B$15</f>
        <v/>
      </c>
    </row>
    <row r="25">
      <c r="A25" s="4" t="inlineStr">
        <is>
          <t>Pro forma net income (USD millions)</t>
        </is>
      </c>
      <c r="B25" s="31">
        <f>B21+B22-B23+B24</f>
        <v/>
      </c>
    </row>
    <row r="26">
      <c r="A26" s="4" t="inlineStr">
        <is>
          <t>Existing shares (millions)</t>
        </is>
      </c>
      <c r="B26" s="11">
        <f>'Assumptions'!$B$18</f>
        <v/>
      </c>
    </row>
    <row r="27">
      <c r="A27" s="4" t="inlineStr">
        <is>
          <t>New shares issued (millions)</t>
        </is>
      </c>
      <c r="B27" s="11">
        <f>'Transaction Structure'!$B$30</f>
        <v/>
      </c>
    </row>
    <row r="28">
      <c r="A28" s="4" t="inlineStr">
        <is>
          <t>Pro forma shares (millions)</t>
        </is>
      </c>
      <c r="B28" s="40">
        <f>B26+B27</f>
        <v/>
      </c>
    </row>
    <row r="29">
      <c r="A29" s="4" t="inlineStr">
        <is>
          <t>Standalone EPS (USD per share)</t>
        </is>
      </c>
      <c r="B29" s="43">
        <f>B21/B26</f>
        <v/>
      </c>
    </row>
    <row r="30">
      <c r="A30" s="4" t="inlineStr">
        <is>
          <t>Pro forma EPS (USD per share)</t>
        </is>
      </c>
      <c r="B30" s="43">
        <f>B25/B28</f>
        <v/>
      </c>
    </row>
    <row r="31">
      <c r="A31" s="4" t="inlineStr">
        <is>
          <t>EPS change (USD per share)</t>
        </is>
      </c>
      <c r="B31" s="43">
        <f>B30-B29</f>
        <v/>
      </c>
    </row>
    <row r="32">
      <c r="A32" s="4" t="inlineStr">
        <is>
          <t>EPS change %</t>
        </is>
      </c>
      <c r="B32" s="34">
        <f>IF(B29=0,"n/a",B31/ABS(B29))</f>
        <v/>
      </c>
    </row>
    <row r="33">
      <c r="A33" s="4" t="inlineStr">
        <is>
          <t>Result</t>
        </is>
      </c>
      <c r="B33" s="44">
        <f>IF(ABS(B31)&lt;1E-12,"Neutral",IF(B31&gt;0,"Accretive","Dilutive"))</f>
        <v/>
      </c>
    </row>
    <row r="34"/>
    <row r="35" ht="40.5" customHeight="1">
      <c r="A35" s="10" t="inlineStr">
        <is>
          <t>Both cases are single-year, run-rate EPS views from the deterministic accretion_dilution model. Neither case is a base, expected, or most likely case.</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A163"/>
  <sheetViews>
    <sheetView showGridLines="0" workbookViewId="0">
      <selection activeCell="A1" sqref="A1"/>
    </sheetView>
  </sheetViews>
  <sheetFormatPr baseColWidth="8" defaultRowHeight="15"/>
  <cols>
    <col width="120" customWidth="1" min="1" max="1"/>
  </cols>
  <sheetData>
    <row r="1">
      <c r="A1" s="1" t="inlineStr">
        <is>
          <t>Due Diligence — Final Reviewed Outputs</t>
        </is>
      </c>
    </row>
    <row r="2">
      <c r="A2" s="2" t="inlineStr">
        <is>
          <t>Generated from deterministic Python calculations and final reviewed AI analyses.</t>
        </is>
      </c>
    </row>
    <row r="3"/>
    <row r="4">
      <c r="A4" s="3" t="inlineStr">
        <is>
          <t>FINANCIAL DUE DILIGENCE</t>
        </is>
      </c>
    </row>
    <row r="5">
      <c r="A5" s="10" t="inlineStr">
        <is>
          <t>Current version: 1 — run kind: initial (initial analysis)</t>
        </is>
      </c>
    </row>
    <row r="6">
      <c r="A6" s="46" t="inlineStr">
        <is>
          <t>Financial Due Diligence</t>
        </is>
      </c>
    </row>
    <row r="7"/>
    <row r="8">
      <c r="A8" s="47" t="inlineStr">
        <is>
          <t>Observed Financial Evidence</t>
        </is>
      </c>
    </row>
    <row r="9" ht="27" customHeight="1">
      <c r="A9" s="14" t="inlineStr">
        <is>
          <t>- DEAL DATA reports target revenue of 5457.056, EBITDA of 644.814, net_income of 377.678, free_cash_flow of 612.691, cash of 789.397, and debt of 25.0.</t>
        </is>
      </c>
    </row>
    <row r="10">
      <c r="A10" s="14" t="inlineStr">
        <is>
          <t>- DETERMINISTIC CALCULATIONS reports target net debt of -764.397.</t>
        </is>
      </c>
    </row>
    <row r="11" ht="27" customHeight="1">
      <c r="A11" s="14" t="inlineStr">
        <is>
          <t>- DEAL DATA reports acquirer revenue of 69672.977, EBITDA of 11594.049, net_income of 7678.433, cash of 10165.245, debt of 5142.265, an acquirer share basis of 612.213453 (defined as weighted-average basic shares used as a modelling proxy), and a share price of 198.9.</t>
        </is>
      </c>
    </row>
    <row r="12">
      <c r="A12" s="14" t="inlineStr">
        <is>
          <t>- MARKET DATA includes a comparable_ev_ebitda_multiple of 8.2 and a precedent_ev_ebitda_multiple of 12.3.</t>
        </is>
      </c>
    </row>
    <row r="13">
      <c r="A13" s="14" t="inlineStr">
        <is>
          <t>- DCF ASSUMPTIONS includes forecast_years of 5, fcf_growth_rate of 0.08, wacc of 0.105, and terminal_growth_rate of 0.025.</t>
        </is>
      </c>
    </row>
    <row r="14" ht="27" customHeight="1">
      <c r="A14" s="14" t="inlineStr">
        <is>
          <t>- SYNERGY ASSUMPTIONS includes annual_cost_synergy of 250.0, annual_revenue_synergy_ebitda of 75.0, realization_years of 5, tax_rate of 0.253, discount_rate of 0.105, and integration_cost of 300.0.</t>
        </is>
      </c>
    </row>
    <row r="15" ht="27" customHeight="1">
      <c r="A15" s="14" t="inlineStr">
        <is>
          <t>- TRANSACTION ASSUMPTIONS includes offer_enterprise_value of 6300.0, cash_percentage of 0.7, stock_percentage of 0.3, new_debt_interest_rate of 0.055, and tax_rate of 0.253.</t>
        </is>
      </c>
    </row>
    <row r="16" ht="27" customHeight="1">
      <c r="A16" s="14" t="inlineStr">
        <is>
          <t>- DETERMINISTIC CALCULATIONS reports enterprise values by method: Comparable Companies of 5287.4748, Precedent Transactions of 7931.2122, and Discounted Cash Flow of 9863.0608.</t>
        </is>
      </c>
    </row>
    <row r="17">
      <c r="A17" s="14" t="inlineStr">
        <is>
          <t>- DETERMINISTIC CALCULATIONS reports offer_equity_value of 7064.397, with offer_enterprise_value of 6300.0 and target_net_debt of -764.397.</t>
        </is>
      </c>
    </row>
    <row r="18" ht="27" customHeight="1">
      <c r="A18" s="14" t="inlineStr">
        <is>
          <t>- DETERMINISTIC CALCULATIONS reports synergy calculations including annual_pre_tax_synergies of 325.0, annual_after_tax_synergies of 242.775, pv_synergies of 908.6724, and net_synergy_value of 608.6724.</t>
        </is>
      </c>
    </row>
    <row r="19"/>
    <row r="20">
      <c r="A20" s="47" t="inlineStr">
        <is>
          <t>Quality of Earnings</t>
        </is>
      </c>
    </row>
    <row r="21">
      <c r="A21" s="14" t="inlineStr">
        <is>
          <t>- Observed earnings figures consist of target EBITDA of 644.814 and net_income of 377.678.</t>
        </is>
      </c>
    </row>
    <row r="22" ht="27" customHeight="1">
      <c r="A22" s="14" t="inlineStr">
        <is>
          <t>- Quality of earnings cannot be assessed because detailed accounting breakdowns, revenue recognition policies, non-recurring adjustments, and quality-of-earnings (QoE) reports are absent from DEAL DATA and DETERMINISTIC CALCULATIONS.</t>
        </is>
      </c>
    </row>
    <row r="23">
      <c r="A23" s="14" t="inlineStr">
        <is>
          <t>- Information gap: QoE adjustments, normalization adjustments, and historical multi-period earnings trends are unavailable.</t>
        </is>
      </c>
    </row>
    <row r="24"/>
    <row r="25">
      <c r="A25" s="47" t="inlineStr">
        <is>
          <t>Cash Flow &amp; Balance Sheet Review</t>
        </is>
      </c>
    </row>
    <row r="26">
      <c r="A26" s="14" t="inlineStr">
        <is>
          <t>- Observed target cash is 789.397 and target debt is 25.0, resulting in deterministic target net debt of -764.397.</t>
        </is>
      </c>
    </row>
    <row r="27">
      <c r="A27" s="14" t="inlineStr">
        <is>
          <t>- Observed target free_cash_flow is 612.691.</t>
        </is>
      </c>
    </row>
    <row r="28" ht="27" customHeight="1">
      <c r="A28" s="14" t="inlineStr">
        <is>
          <t>- Free cash flow quality cannot be fully assessed due to the absence of a detailed statement of cash flows, capital expenditure breakdowns, and working capital change details.</t>
        </is>
      </c>
    </row>
    <row r="29" ht="27" customHeight="1">
      <c r="A29" s="14" t="inlineStr">
        <is>
          <t>- Working capital considerations, accounts receivable aging, inventory valuation, and accounts payable terms are absent from DEAL DATA, so working capital quality remains unassessed.</t>
        </is>
      </c>
    </row>
    <row r="30"/>
    <row r="31">
      <c r="A31" s="47" t="inlineStr">
        <is>
          <t>Key Financial Red Flags</t>
        </is>
      </c>
    </row>
    <row r="32">
      <c r="A32" s="14" t="inlineStr">
        <is>
          <t>No evidence-backed financial red flag can be concluded from the supplied data alone.</t>
        </is>
      </c>
    </row>
    <row r="33"/>
    <row r="34">
      <c r="A34" s="47" t="inlineStr">
        <is>
          <t>Information Gaps</t>
        </is>
      </c>
    </row>
    <row r="35" ht="27" customHeight="1">
      <c r="A35" s="14" t="inlineStr">
        <is>
          <t>- Detailed multi-period financial statements (income statements, balance sheets, and cash flow statements) showing historical growth consistency are unavailable.</t>
        </is>
      </c>
    </row>
    <row r="36">
      <c r="A36" s="14" t="inlineStr">
        <is>
          <t>- Accounting quality data, including revenue recognition policies and audit letters, is unavailable.</t>
        </is>
      </c>
    </row>
    <row r="37">
      <c r="A37" s="14" t="inlineStr">
        <is>
          <t>- One-off or exceptional items, non-recurring charges, and normalization adjustments are unavailable.</t>
        </is>
      </c>
    </row>
    <row r="38">
      <c r="A38" s="14" t="inlineStr">
        <is>
          <t>- Capex requirements, historical capital expenditure schedules, and maintenance vs. growth capex breakdowns are unavailable.</t>
        </is>
      </c>
    </row>
    <row r="39">
      <c r="A39" s="14" t="inlineStr">
        <is>
          <t>- Customer concentration data, top client lists, and contract terms affecting financial quality are unavailable.</t>
        </is>
      </c>
    </row>
    <row r="40">
      <c r="A40" s="14" t="inlineStr">
        <is>
          <t>- Tax exposure details, historical effective tax rates, audit histories, and jurisdictional tax liabilities are unavailable.</t>
        </is>
      </c>
    </row>
    <row r="41">
      <c r="A41" s="14" t="inlineStr">
        <is>
          <t>- Working capital components, accounts receivable, inventory, and accounts payable details are unavailable.</t>
        </is>
      </c>
    </row>
    <row r="42"/>
    <row r="43">
      <c r="A43" s="47" t="inlineStr">
        <is>
          <t>Recommended Diligence Actions</t>
        </is>
      </c>
    </row>
    <row r="44">
      <c r="A44" s="14" t="inlineStr">
        <is>
          <t>- Recommended diligence action: obtain multi-period financial statements to assess historical growth consistency and trend stability.</t>
        </is>
      </c>
    </row>
    <row r="45" ht="27" customHeight="1">
      <c r="A45" s="14" t="inlineStr">
        <is>
          <t>- Recommended diligence action: perform a detailed quality of earnings review to identify any non-recurring items, normalization adjustments, and revenue recognition practices.</t>
        </is>
      </c>
    </row>
    <row r="46">
      <c r="A46" s="14" t="inlineStr">
        <is>
          <t>- Recommended diligence action: review detailed capex schedules to distinguish between maintenance and growth capital expenditures.</t>
        </is>
      </c>
    </row>
    <row r="47" ht="27" customHeight="1">
      <c r="A47" s="14" t="inlineStr">
        <is>
          <t>- Recommended diligence action: obtain customer concentration reports and key commercial contract disclosures to evaluate revenue sustainability.</t>
        </is>
      </c>
    </row>
    <row r="48">
      <c r="A48" s="14" t="inlineStr">
        <is>
          <t>- Recommended diligence action: examine detailed tax filings and jurisdictional exposures to verify tax liabilities and effective tax rates.</t>
        </is>
      </c>
    </row>
    <row r="49"/>
    <row r="50">
      <c r="A50" s="3" t="inlineStr">
        <is>
          <t>COMMERCIAL DUE DILIGENCE</t>
        </is>
      </c>
    </row>
    <row r="51">
      <c r="A51" s="10" t="inlineStr">
        <is>
          <t>Current version: 1 — run kind: initial (initial analysis)</t>
        </is>
      </c>
    </row>
    <row r="52">
      <c r="A52" s="46" t="inlineStr">
        <is>
          <t>Commercial Due Diligence</t>
        </is>
      </c>
    </row>
    <row r="53"/>
    <row r="54">
      <c r="A54" s="47" t="inlineStr">
        <is>
          <t>Observed Commercial Evidence</t>
        </is>
      </c>
    </row>
    <row r="55">
      <c r="A55" s="14" t="inlineStr">
        <is>
          <t>(If no commercial evidence is supplied, say so plainly.)</t>
        </is>
      </c>
    </row>
    <row r="56">
      <c r="A56" s="14" t="inlineStr">
        <is>
          <t>No commercial evidence is supplied in DEAL DATA or DETERMINISTIC CALCULATIONS.</t>
        </is>
      </c>
    </row>
    <row r="57"/>
    <row r="58">
      <c r="A58" s="47" t="inlineStr">
        <is>
          <t>Market &amp; Competitive Position</t>
        </is>
      </c>
    </row>
    <row r="59" ht="27" customHeight="1">
      <c r="A59" s="14" t="inlineStr">
        <is>
          <t>The target's industry, product category, market size, market growth, addressable market, market share, and competitive landscape are not supplied in DEAL DATA, so market position and competitive positioning cannot be assessed.</t>
        </is>
      </c>
    </row>
    <row r="60"/>
    <row r="61">
      <c r="A61" s="47" t="inlineStr">
        <is>
          <t>Customer Quality</t>
        </is>
      </c>
    </row>
    <row r="62" ht="27" customHeight="1">
      <c r="A62" s="14" t="inlineStr">
        <is>
          <t>Customer concentration, customer churn, customer retention rates, customer acquisition metrics, and customer contracts are not supplied in DEAL DATA, so customer quality cannot be assessed.</t>
        </is>
      </c>
    </row>
    <row r="63"/>
    <row r="64">
      <c r="A64" s="47" t="inlineStr">
        <is>
          <t>Product &amp; Revenue Model</t>
        </is>
      </c>
    </row>
    <row r="65" ht="27" customHeight="1">
      <c r="A65" s="14" t="inlineStr">
        <is>
          <t>Product differentiation, recurring revenue figures, pricing power metrics, sales channels, and product capabilities are not supplied in DEAL DATA, so the product and revenue model cannot be assessed.</t>
        </is>
      </c>
    </row>
    <row r="66"/>
    <row r="67">
      <c r="A67" s="47" t="inlineStr">
        <is>
          <t>Commercial Synergy Validation</t>
        </is>
      </c>
    </row>
    <row r="68">
      <c r="A68" s="14" t="inlineStr">
        <is>
          <t>(Treat revenue-synergy figures as UNVERIFIED ASSUMPTIONS requiring validation.)</t>
        </is>
      </c>
    </row>
    <row r="69" ht="54" customHeight="1">
      <c r="A69" s="14" t="inlineStr">
        <is>
          <t>The supplied data includes an UNVERIFIED ASSUMPTION (DEAL DATA ASSUMPTION) for `annual_revenue_synergy_ebitda` of 75.0, along with an UNVERIFIED ASSUMPTION (DEAL DATA ASSUMPTION) for `annual_cost_synergy` of 250.0, `realization_years` of 5, `integration_cost` of 300.0, `tax_rate` of 0.253, and `discount_rate` of 0.105. DETERMINISTIC CALCULATIONS reports a deterministic `pv_synergies` of 908.6724 and a `net_synergy_value` of 608.6724.</t>
        </is>
      </c>
    </row>
    <row r="70" ht="40.5" customHeight="1">
      <c r="A70" s="14" t="inlineStr">
        <is>
          <t>The supplied revenue synergy figure is an unverified assumption requiring validation. To validate this synergy figure and the underlying cost synergies, commercial evidence would be needed, including detailed customer overlap lists, cross-selling history, pricing metrics, product integration roadmaps, departmental headcount data, vendor contracts, and facility lease agreements.</t>
        </is>
      </c>
    </row>
    <row r="71"/>
    <row r="72">
      <c r="A72" s="47" t="inlineStr">
        <is>
          <t>Key Commercial Red Flags</t>
        </is>
      </c>
    </row>
    <row r="73" ht="27" customHeight="1">
      <c r="A73" s="14" t="inlineStr">
        <is>
          <t>(Only EVIDENCE-BACKED RED FLAGS, each citing its evidence. Do not convert missing information into a red flag. If there are none, say that no evidence-backed commercial red flag can be concluded from the supplied data alone.)</t>
        </is>
      </c>
    </row>
    <row r="74">
      <c r="A74" s="14" t="inlineStr">
        <is>
          <t>No evidence-backed commercial red flag can be concluded from the supplied data alone.</t>
        </is>
      </c>
    </row>
    <row r="75"/>
    <row r="76">
      <c r="A76" s="47" t="inlineStr">
        <is>
          <t>Information Gaps</t>
        </is>
      </c>
    </row>
    <row r="77">
      <c r="A77" s="14" t="inlineStr">
        <is>
          <t>- Market size, market growth, and addressable market data are unavailable, so market dynamics cannot be assessed.</t>
        </is>
      </c>
    </row>
    <row r="78">
      <c r="A78" s="14" t="inlineStr">
        <is>
          <t>- Competitive landscape and competitor market-share data are unavailable, so competitive position cannot be assessed.</t>
        </is>
      </c>
    </row>
    <row r="79">
      <c r="A79" s="14" t="inlineStr">
        <is>
          <t>- Customer concentration, churn, retention, and acquisition data are unavailable, so customer quality cannot be assessed.</t>
        </is>
      </c>
    </row>
    <row r="80">
      <c r="A80" s="14" t="inlineStr">
        <is>
          <t>- Recurring revenue and pricing power data are unavailable, so revenue sustainability and pricing dynamics cannot be assessed.</t>
        </is>
      </c>
    </row>
    <row r="81">
      <c r="A81" s="14" t="inlineStr">
        <is>
          <t>- Sales channel and geographic presence data are unavailable, so distribution and geographic footprint cannot be assessed.</t>
        </is>
      </c>
    </row>
    <row r="82" ht="27" customHeight="1">
      <c r="A82" s="14" t="inlineStr">
        <is>
          <t>- Product differentiation and cross-sell potential data are unavailable, so product capabilities and synergy feasibility cannot be empirically assessed from supplied evidence.</t>
        </is>
      </c>
    </row>
    <row r="83"/>
    <row r="84">
      <c r="A84" s="47" t="inlineStr">
        <is>
          <t>Recommended Diligence Actions</t>
        </is>
      </c>
    </row>
    <row r="85" ht="27" customHeight="1">
      <c r="A85" s="14" t="inlineStr">
        <is>
          <t>- Recommended diligence action: obtain detailed product, technology, and capability disclosures for EPAM Systems, Inc. to evaluate whether a product-led strategic rationale exists.</t>
        </is>
      </c>
    </row>
    <row r="86">
      <c r="A86" s="14" t="inlineStr">
        <is>
          <t>- Recommended diligence action: obtain customer concentration and contract details for EPAM Systems, Inc. to assess customer retention risk.</t>
        </is>
      </c>
    </row>
    <row r="87" ht="27" customHeight="1">
      <c r="A87" s="14" t="inlineStr">
        <is>
          <t>- Recommended diligence action: review the operational feasibility and timeline underlying the annual_cost_synergy of 250.0, the annual_revenue_synergy_ebitda of 75.0, and the integration_cost of 300.0.</t>
        </is>
      </c>
    </row>
    <row r="88" ht="27" customHeight="1">
      <c r="A88" s="14" t="inlineStr">
        <is>
          <t>- Recommended diligence action: obtain detailed departmental headcount data and organizational charts for both companies to evaluate potential headcount overlap supporting cost synergies.</t>
        </is>
      </c>
    </row>
    <row r="89">
      <c r="A89" s="14" t="inlineStr">
        <is>
          <t>- Recommended diligence action: review vendor contracts and procurement spending data to validate supply chain and administrative cost savings.</t>
        </is>
      </c>
    </row>
    <row r="90">
      <c r="A90" s="14" t="inlineStr">
        <is>
          <t>- Recommended diligence action: obtain facility lease agreements and real estate occupancy reports to assess facility consolidation feasibility.</t>
        </is>
      </c>
    </row>
    <row r="91" ht="27" customHeight="1">
      <c r="A91" s="14" t="inlineStr">
        <is>
          <t>- Recommended diligence action: acquire customer lists, contract terms, and historical cross-selling data to evaluate the feasibility of revenue synergies.</t>
        </is>
      </c>
    </row>
    <row r="92" ht="27" customHeight="1">
      <c r="A92" s="14" t="inlineStr">
        <is>
          <t>- Recommended diligence action: examine IT infrastructure and software license inventories to verify opportunities for duplicated systems and vendor consolidation.</t>
        </is>
      </c>
    </row>
    <row r="93"/>
    <row r="94">
      <c r="A94" s="3" t="inlineStr">
        <is>
          <t>LEGAL &amp; OPERATIONAL DUE DILIGENCE</t>
        </is>
      </c>
    </row>
    <row r="95">
      <c r="A95" s="10" t="inlineStr">
        <is>
          <t>Current version: 1 — run kind: initial (initial analysis)</t>
        </is>
      </c>
    </row>
    <row r="96">
      <c r="A96" s="46" t="inlineStr">
        <is>
          <t>Legal &amp; Operational Due Diligence</t>
        </is>
      </c>
    </row>
    <row r="97"/>
    <row r="98">
      <c r="A98" s="47" t="inlineStr">
        <is>
          <t>Observed Evidence</t>
        </is>
      </c>
    </row>
    <row r="99">
      <c r="A99" s="14" t="inlineStr">
        <is>
          <t>- DEAL DATA reports that Accenture plc has cash of 10165.245 and debt of 5142.265.</t>
        </is>
      </c>
    </row>
    <row r="100">
      <c r="A100" s="14" t="inlineStr">
        <is>
          <t>- DEAL DATA reports that EPAM Systems, Inc. has cash of 789.397 and debt of 25.0.</t>
        </is>
      </c>
    </row>
    <row r="101">
      <c r="A101" s="14" t="inlineStr">
        <is>
          <t>- DETERMINISTIC CALCULATIONS reports a target_net_debt of -764.397.</t>
        </is>
      </c>
    </row>
    <row r="102" ht="40.5" customHeight="1">
      <c r="A102" s="14" t="inlineStr">
        <is>
          <t>- DEAL DATA supplies synergy assumptions including an annual_cost_synergy of 250.0, an annual_revenue_synergy_ebitda of 75.0, an integration_cost of 300.0, a realization_years of 5, a tax_rate of 0.253, and a discount_rate of 0.105. These are UNVERIFIED ASSUMPTIONS (DEAL DATA ASSUMPTIONS).</t>
        </is>
      </c>
    </row>
    <row r="103">
      <c r="A103" s="14" t="inlineStr">
        <is>
          <t>- DETERMINISTIC CALCULATIONS reports an integration_cost of 300.0 and a pv_synergies of 908.6724, resulting in a net_synergy_value of 608.6724.</t>
        </is>
      </c>
    </row>
    <row r="104"/>
    <row r="105">
      <c r="A105" s="47" t="inlineStr">
        <is>
          <t>Legal &amp; Regulatory Review</t>
        </is>
      </c>
    </row>
    <row r="106" ht="27" customHeight="1">
      <c r="A106" s="14" t="inlineStr">
        <is>
          <t>- Material contracts and change-of-control clauses: No material contracts, customer agreements, or change-of-control provisions are supplied in DEAL DATA. This area is unassessed and represents an INFORMATION GAP.</t>
        </is>
      </c>
    </row>
    <row r="107" ht="27" customHeight="1">
      <c r="A107" s="14" t="inlineStr">
        <is>
          <t>- Litigation: No litigation records, pending legal proceedings, or dispute disclosures are supplied in DEAL DATA. This area is unassessed and represents an INFORMATION GAP.</t>
        </is>
      </c>
    </row>
    <row r="108" ht="27" customHeight="1">
      <c r="A108" s="14" t="inlineStr">
        <is>
          <t>- Regulatory exposure: No regulatory filings, compliance records, or jurisdictional exposure data are supplied in DEAL DATA. This area is unassessed and represents an INFORMATION GAP.</t>
        </is>
      </c>
    </row>
    <row r="109" ht="27" customHeight="1">
      <c r="A109" s="14" t="inlineStr">
        <is>
          <t>- IP ownership and licensing: No intellectual property portfolios, patent filings, proprietary technology descriptions, or inbound/outbound licensing agreements are supplied in DEAL DATA. This area is unassessed and represents an INFORMATION GAP.</t>
        </is>
      </c>
    </row>
    <row r="110" ht="27" customHeight="1">
      <c r="A110" s="14" t="inlineStr">
        <is>
          <t>- Data / privacy obligations: No data governance policies, privacy compliance records (such as GDPR or CCPA), or cybersecurity regulatory obligations are supplied in DEAL DATA. This area is unassessed and represents an INFORMATION GAP.</t>
        </is>
      </c>
    </row>
    <row r="111" ht="27" customHeight="1">
      <c r="A111" s="14" t="inlineStr">
        <is>
          <t>- Employment liabilities: No employee census data, collective bargaining agreements, pension obligations, benefit plans, or historical labor disputes are supplied in DEAL DATA. This area is unassessed and represents an INFORMATION GAP.</t>
        </is>
      </c>
    </row>
    <row r="112" ht="27" customHeight="1">
      <c r="A112" s="14" t="inlineStr">
        <is>
          <t>- Tax / legal disputes: No tax audit reports, tax dispute filings, or legal settlement records are supplied in DEAL DATA. This area is unassessed and represents an INFORMATION GAP.</t>
        </is>
      </c>
    </row>
    <row r="113"/>
    <row r="114">
      <c r="A114" s="47" t="inlineStr">
        <is>
          <t>Technology &amp; Operations Review</t>
        </is>
      </c>
    </row>
    <row r="115" ht="27" customHeight="1">
      <c r="A115" s="14" t="inlineStr">
        <is>
          <t>- Organization structure and headcount: No organizational charts, departmental headcount breakdowns, or personnel rosters are supplied in DEAL DATA. This area is unassessed and represents an INFORMATION GAP.</t>
        </is>
      </c>
    </row>
    <row r="116" ht="27" customHeight="1">
      <c r="A116" s="14" t="inlineStr">
        <is>
          <t>- Key-person dependencies: No key-person management schedules, talent retention metrics, or critical personnel dependency reports are supplied in DEAL DATA. This area is unassessed and represents an INFORMATION GAP.</t>
        </is>
      </c>
    </row>
    <row r="117" ht="27" customHeight="1">
      <c r="A117" s="14" t="inlineStr">
        <is>
          <t>- Systems compatibility and technology stack: No IT infrastructure inventories, software architectures, or application stack documentation are supplied in DEAL DATA. This area is unassessed and represents an INFORMATION GAP.</t>
        </is>
      </c>
    </row>
    <row r="118" ht="27" customHeight="1">
      <c r="A118" s="14" t="inlineStr">
        <is>
          <t>- Cybersecurity: No cybersecurity audit reports, penetration testing results, vulnerability assessments, or incident response histories are supplied in DEAL DATA. This area is unassessed and represents an INFORMATION GAP.</t>
        </is>
      </c>
    </row>
    <row r="119" ht="27" customHeight="1">
      <c r="A119" s="14" t="inlineStr">
        <is>
          <t>- Vendor dependencies: No critical vendor contracts, third-party supplier lists, or procurement agreements are supplied in DEAL DATA. This area is unassessed and represents an INFORMATION GAP.</t>
        </is>
      </c>
    </row>
    <row r="120" ht="27" customHeight="1">
      <c r="A120" s="14" t="inlineStr">
        <is>
          <t>- Facilities: No real estate lease agreements, facility footprints, or occupancy inventories are supplied in DEAL DATA. This area is unassessed and represents an INFORMATION GAP.</t>
        </is>
      </c>
    </row>
    <row r="121" ht="27" customHeight="1">
      <c r="A121" s="14" t="inlineStr">
        <is>
          <t>- Integration complexity: No operational integration plans, IT migration roadmaps, or organizational blending schedules are supplied in DEAL DATA. This area is unassessed and represents an INFORMATION GAP.</t>
        </is>
      </c>
    </row>
    <row r="122" ht="27" customHeight="1">
      <c r="A122" s="14" t="inlineStr">
        <is>
          <t>- Business continuity: No business continuity plans, disaster recovery protocols, or operational redundancy records are supplied in DEAL DATA. This area is unassessed and represents an INFORMATION GAP.</t>
        </is>
      </c>
    </row>
    <row r="123" ht="27" customHeight="1">
      <c r="A123" s="14" t="inlineStr">
        <is>
          <t>- Operational scalability: No capacity utilization metrics, operational throughput data, or scalability models are supplied in DEAL DATA. This area is unassessed and represents an INFORMATION GAP.</t>
        </is>
      </c>
    </row>
    <row r="124"/>
    <row r="125">
      <c r="A125" s="47" t="inlineStr">
        <is>
          <t>Integration Considerations</t>
        </is>
      </c>
    </row>
    <row r="126" ht="27" customHeight="1">
      <c r="A126" s="14" t="inlineStr">
        <is>
          <t>- DEAL DATA supplies an integration_cost of 300.0, an annual_cost_synergy of 250.0, an annual_revenue_synergy_ebitda of 75.0, and a realization_years of 5. These figures are quoted as UNVERIFIED ASSUMPTIONS (DEAL DATA ASSUMPTIONS).</t>
        </is>
      </c>
    </row>
    <row r="127" ht="27" customHeight="1">
      <c r="A127" s="14" t="inlineStr">
        <is>
          <t>- DETERMINISTIC CALCULATIONS reports that run-rate synergies are counted in full from year one with no ramp-up, that synergies last only for the realization period with no terminal value, and that integration cost is a one-off cost at close, undiscounted and not tax-deductible.</t>
        </is>
      </c>
    </row>
    <row r="128" ht="27" customHeight="1">
      <c r="A128" s="14" t="inlineStr">
        <is>
          <t>- DETERMINISTIC CALCULATIONS reports a pv_synergies of 908.6724 and a net_synergy_value of 608.6724, with integration_cost_vs_pv_synergies reported as below.</t>
        </is>
      </c>
    </row>
    <row r="129" ht="27" customHeight="1">
      <c r="A129" s="14" t="inlineStr">
        <is>
          <t>- No integration plan, organizational structure, systems migration blueprint, or operational timetable is supplied in DEAL DATA. The adequacy of the integration plan, budget, or timeline cannot be assessed from the supplied data.</t>
        </is>
      </c>
    </row>
    <row r="130"/>
    <row r="131">
      <c r="A131" s="47" t="inlineStr">
        <is>
          <t>Key Legal / Operational Red Flags</t>
        </is>
      </c>
    </row>
    <row r="132" ht="27" customHeight="1">
      <c r="A132" s="14" t="inlineStr">
        <is>
          <t>- No evidence-backed legal or operational red flag can be concluded from the supplied data alone. All legal and operational areas lack underlying source documentation and are recorded as information gaps rather than red flags.</t>
        </is>
      </c>
    </row>
    <row r="133"/>
    <row r="134">
      <c r="A134" s="47" t="inlineStr">
        <is>
          <t>Information Gaps</t>
        </is>
      </c>
    </row>
    <row r="135">
      <c r="A135" s="14" t="inlineStr">
        <is>
          <t>- Absence of material contracts, customer agreements, and change-of-control clause documentation.</t>
        </is>
      </c>
    </row>
    <row r="136">
      <c r="A136" s="14" t="inlineStr">
        <is>
          <t>- Absence of litigation records, pending legal proceedings, and dispute disclosures.</t>
        </is>
      </c>
    </row>
    <row r="137">
      <c r="A137" s="14" t="inlineStr">
        <is>
          <t>- Absence of regulatory compliance records, filings, and jurisdictional exposure data.</t>
        </is>
      </c>
    </row>
    <row r="138">
      <c r="A138" s="14" t="inlineStr">
        <is>
          <t>- Absence of intellectual property portfolios, patent records, and technology licensing agreements.</t>
        </is>
      </c>
    </row>
    <row r="139">
      <c r="A139" s="14" t="inlineStr">
        <is>
          <t>- Absence of data governance policies, privacy compliance documentation, and cybersecurity records.</t>
        </is>
      </c>
    </row>
    <row r="140">
      <c r="A140" s="14" t="inlineStr">
        <is>
          <t>- Absence of employee census data, labor agreements, benefit plans, and employment liability records.</t>
        </is>
      </c>
    </row>
    <row r="141">
      <c r="A141" s="14" t="inlineStr">
        <is>
          <t>- Absence of tax audit reports, tax dispute files, and legal settlement documentation.</t>
        </is>
      </c>
    </row>
    <row r="142">
      <c r="A142" s="14" t="inlineStr">
        <is>
          <t>- Absence of organizational charts, headcount rosters, and staffing data.</t>
        </is>
      </c>
    </row>
    <row r="143">
      <c r="A143" s="14" t="inlineStr">
        <is>
          <t>- Absence of key-person management schedules and talent dependency reports.</t>
        </is>
      </c>
    </row>
    <row r="144">
      <c r="A144" s="14" t="inlineStr">
        <is>
          <t>- Absence of IT infrastructure inventories, software architectures, and technology stack descriptions.</t>
        </is>
      </c>
    </row>
    <row r="145">
      <c r="A145" s="14" t="inlineStr">
        <is>
          <t>- Absence of cybersecurity audits, penetration test results, and incident logs.</t>
        </is>
      </c>
    </row>
    <row r="146">
      <c r="A146" s="14" t="inlineStr">
        <is>
          <t>- Absence of critical vendor contracts, third-party supplier lists, and procurement agreements.</t>
        </is>
      </c>
    </row>
    <row r="147">
      <c r="A147" s="14" t="inlineStr">
        <is>
          <t>- Absence of real estate lease agreements, facility footprints, and occupancy reports.</t>
        </is>
      </c>
    </row>
    <row r="148">
      <c r="A148" s="14" t="inlineStr">
        <is>
          <t>- Absence of operational integration plans, IT migration roadmaps, and blending schedules.</t>
        </is>
      </c>
    </row>
    <row r="149">
      <c r="A149" s="14" t="inlineStr">
        <is>
          <t>- Absence of business continuity plans, disaster recovery protocols, and operational redundancy records.</t>
        </is>
      </c>
    </row>
    <row r="150">
      <c r="A150" s="14" t="inlineStr">
        <is>
          <t>- Absence of operational scalability models and capacity utilization metrics.</t>
        </is>
      </c>
    </row>
    <row r="151"/>
    <row r="152">
      <c r="A152" s="47" t="inlineStr">
        <is>
          <t>Recommended Diligence Actions</t>
        </is>
      </c>
    </row>
    <row r="153" ht="27" customHeight="1">
      <c r="A153" s="14" t="inlineStr">
        <is>
          <t>- Recommended diligence action: obtain and review all material contracts, customer agreements, and vendor contracts for change-of-control provisions and assignment restrictions.</t>
        </is>
      </c>
    </row>
    <row r="154" ht="27" customHeight="1">
      <c r="A154" s="14" t="inlineStr">
        <is>
          <t>- Recommended diligence action: conduct a comprehensive legal audit of pending litigation, regulatory compliance filings, and historical dispute records.</t>
        </is>
      </c>
    </row>
    <row r="155" ht="27" customHeight="1">
      <c r="A155" s="14" t="inlineStr">
        <is>
          <t>- Recommended diligence action: review intellectual property ownership records, patent portfolios, and inbound/outbound software licensing agreements.</t>
        </is>
      </c>
    </row>
    <row r="156">
      <c r="A156" s="14" t="inlineStr">
        <is>
          <t>- Recommended diligence action: examine data privacy compliance policies, GDPR/CCPA adherence records, and cybersecurity audit reports.</t>
        </is>
      </c>
    </row>
    <row r="157" ht="27" customHeight="1">
      <c r="A157" s="14" t="inlineStr">
        <is>
          <t>- Recommended diligence action: inspect employee census data, collective bargaining agreements, pension obligations, and historical employment liabilities.</t>
        </is>
      </c>
    </row>
    <row r="158">
      <c r="A158" s="14" t="inlineStr">
        <is>
          <t>- Recommended diligence action: audit tax filings, open tax audits, and historical tax dispute documentation.</t>
        </is>
      </c>
    </row>
    <row r="159" ht="27" customHeight="1">
      <c r="A159" s="14" t="inlineStr">
        <is>
          <t>- Recommended diligence action: obtain detailed departmental headcount data, organizational charts, and key-person retention agreements to evaluate potential headcount overlap supporting the annual_cost_synergy of 250.0.</t>
        </is>
      </c>
    </row>
    <row r="160" ht="27" customHeight="1">
      <c r="A160" s="14" t="inlineStr">
        <is>
          <t>- Recommended diligence action: examine IT infrastructure inventories, software license inventories, and application stack documentation to verify opportunities for duplicated systems and vendor consolidation.</t>
        </is>
      </c>
    </row>
    <row r="161" ht="27" customHeight="1">
      <c r="A161" s="14" t="inlineStr">
        <is>
          <t>- Recommended diligence action: review facility lease agreements and real estate occupancy reports to assess facility consolidation feasibility and integration costs.</t>
        </is>
      </c>
    </row>
    <row r="162" ht="27" customHeight="1">
      <c r="A162" s="14" t="inlineStr">
        <is>
          <t>- Recommended diligence action: acquire customer lists, contract terms, and historical cross-selling data to evaluate the feasibility of the annual_revenue_synergy_ebitda of 75.0.</t>
        </is>
      </c>
    </row>
    <row r="163" ht="27" customHeight="1">
      <c r="A163" s="14" t="inlineStr">
        <is>
          <t>- Recommended diligence action: review the operational feasibility, execution timeline, and budgetary adequacy underlying the integration_cost of 300.0 and the realization_years of 5.</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A75"/>
  <sheetViews>
    <sheetView showGridLines="0" workbookViewId="0">
      <selection activeCell="A1" sqref="A1"/>
    </sheetView>
  </sheetViews>
  <sheetFormatPr baseColWidth="8" defaultRowHeight="15"/>
  <cols>
    <col width="120" customWidth="1" min="1" max="1"/>
  </cols>
  <sheetData>
    <row r="1">
      <c r="A1" s="1" t="inlineStr">
        <is>
          <t>Risk Summary</t>
        </is>
      </c>
    </row>
    <row r="2">
      <c r="A2" s="2" t="inlineStr">
        <is>
          <t>Generated from deterministic Python calculations and final reviewed AI analyses.</t>
        </is>
      </c>
    </row>
    <row r="3"/>
    <row r="4">
      <c r="A4" s="3" t="inlineStr">
        <is>
          <t>RISK ANALYST — FINAL REVIEWED OUTPUT</t>
        </is>
      </c>
    </row>
    <row r="5">
      <c r="A5" s="10" t="inlineStr">
        <is>
          <t>Current version: 1 — run kind: initial (initial analysis)</t>
        </is>
      </c>
    </row>
    <row r="6">
      <c r="A6" s="46" t="inlineStr">
        <is>
          <t>Deal Risk Assessment</t>
        </is>
      </c>
    </row>
    <row r="7"/>
    <row r="8">
      <c r="A8" s="47" t="inlineStr">
        <is>
          <t>Evidence-Backed Risks</t>
        </is>
      </c>
    </row>
    <row r="9" ht="54" customHeight="1">
      <c r="A9" s="14" t="inlineStr">
        <is>
          <t>- EVIDENCE-BACKED RISK: The valuation methods produce a wide enterprise value dispersion, ranging from 5287.4748 under the Comparable Companies method to 9863.0608 under the Discounted Cash Flow method, with the offer_enterprise_value of 6300.0 sitting above the Comparable Companies method but below the Precedent Transactions method (7931.2122) and the Discounted Cash Flow method (9863.0608), as reported in DETERMINISTIC CALCULATIONS.</t>
        </is>
      </c>
    </row>
    <row r="10" ht="40.5" customHeight="1">
      <c r="A10" s="14" t="inlineStr">
        <is>
          <t>- EVIDENCE-BACKED RISK: The financing structure modelled in DETERMINISTIC CALCULATIONS introduces significant debt obligations, with new_debt_under_financing_convention of 4945.0779 generating an annual_pre_tax_interest_expense of 271.9793 and an annual_after_tax_interest_expense of 203.1685 at the new_debt_interest_rate of 0.055.</t>
        </is>
      </c>
    </row>
    <row r="11"/>
    <row r="12">
      <c r="A12" s="47" t="inlineStr">
        <is>
          <t>Unverified Assumptions</t>
        </is>
      </c>
    </row>
    <row r="13" ht="27" customHeight="1">
      <c r="A13" s="14" t="inlineStr">
        <is>
          <t>- UNVERIFIED ASSUMPTION: `comparable_ev_ebitda_multiple` of 8.2 and `precedent_ev_ebitda_multiple` of 12.3, sourced from market_data (DEAL DATA ASSUMPTIONS), which drive the Comparable Companies and Precedent Transactions valuation methods.</t>
        </is>
      </c>
    </row>
    <row r="14" ht="27" customHeight="1">
      <c r="A14" s="14" t="inlineStr">
        <is>
          <t>- UNVERIFIED ASSUMPTION: `fcf_growth_rate` of 0.08, `wacc` of 0.105, `terminal_growth_rate` of 0.025, and `forecast_years` of 5, sourced from dcf_assumptions (DEAL DATA ASSUMPTIONS), which drive the Discounted Cash Flow enterprise value of 9863.0608.</t>
        </is>
      </c>
    </row>
    <row r="15" ht="40.5" customHeight="1">
      <c r="A15" s="14" t="inlineStr">
        <is>
          <t>- UNVERIFIED ASSUMPTION: `annual_cost_synergy` of 250.0, `annual_revenue_synergy_ebitda` of 75.0, `realization_years` of 5, `tax_rate` of 0.253, `discount_rate` of 0.105, and `integration_cost` of 300.0, sourced from synergy_assumptions (DEAL DATA ASSUMPTIONS), which drive the deterministic pv_synergies of 908.6724 and net_synergy_value of 608.6724.</t>
        </is>
      </c>
    </row>
    <row r="16" ht="27" customHeight="1">
      <c r="A16" s="14" t="inlineStr">
        <is>
          <t>- UNVERIFIED ASSUMPTION: `cash_percentage` of 0.7, `stock_percentage` of 0.3, and `new_debt_interest_rate` of 0.055, sourced from transaction_assumptions (DEAL DATA ASSUMPTIONS), which drive the transaction structure and accretion/dilution models.</t>
        </is>
      </c>
    </row>
    <row r="17"/>
    <row r="18">
      <c r="A18" s="47" t="inlineStr">
        <is>
          <t>Information Gaps</t>
        </is>
      </c>
    </row>
    <row r="19" ht="27" customHeight="1">
      <c r="A19" s="14" t="inlineStr">
        <is>
          <t>- INFORMATION GAP (Financial Due Diligence, Strategic Fit Analyst, Commercial Due Diligence): Detailed product, technology, capability descriptions, customer concentration data, top client lists, and key contract terms for EPAM Systems, Inc. are absent from DEAL DATA.</t>
        </is>
      </c>
    </row>
    <row r="20" ht="27" customHeight="1">
      <c r="A20" s="14" t="inlineStr">
        <is>
          <t>- INFORMATION GAP (Financial Due Diligence): Multi-period financial statements, accounting quality policies, one-off or exceptional items, capex breakdowns, tax exposure details, and working capital components are unavailable.</t>
        </is>
      </c>
    </row>
    <row r="21" ht="27" customHeight="1">
      <c r="A21" s="14" t="inlineStr">
        <is>
          <t>- INFORMATION GAP (Commercial Due Diligence): Market size, growth rates, addressable market, competitive landscape, recurring revenue figures, and pricing power metrics are unavailable.</t>
        </is>
      </c>
    </row>
    <row r="22" ht="40.5" customHeight="1">
      <c r="A22" s="14" t="inlineStr">
        <is>
          <t>- INFORMATION GAP (Legal &amp; Operational Due Diligence): Material contracts, change-of-control clauses, litigation records, regulatory compliance filings, IP portfolios, privacy compliance policies, employee census data, organizational charts, IT infrastructure inventories, cybersecurity audits, and real estate lease agreements are absent from DEAL DATA.</t>
        </is>
      </c>
    </row>
    <row r="23" ht="27" customHeight="1">
      <c r="A23" s="14" t="inlineStr">
        <is>
          <t>- INFORMATION GAP (Deal Structuring Analyst): Committed financing term sheets, definitive debt financing agreements, refinancing terms for target existing debt, rollover equity terms, management incentive arrangements, and purchase-price adjustment mechanisms are absent from DEAL DATA.</t>
        </is>
      </c>
    </row>
    <row r="24"/>
    <row r="25">
      <c r="A25" s="47" t="inlineStr">
        <is>
          <t>Cross-Workstream Dependencies</t>
        </is>
      </c>
    </row>
    <row r="26" ht="54" customHeight="1">
      <c r="A26" s="14" t="inlineStr">
        <is>
          <t>- Cross-Workstream Dependency (Synergy Analysis, Commercial Due Diligence, Financial Due Diligence): The synergy model's calculation of pv_synergies (908.6724) and net_synergy_value (608.6724) depends entirely on the unverified synergy assumptions (`annual_cost_synergy` of 250.0, `annual_revenue_synergy_ebitda` of 75.0, and `integration_cost` of 300.0), the realization of which depends on operational, commercial, and financial diligence findings that are currently information gaps.</t>
        </is>
      </c>
    </row>
    <row r="27" ht="40.5" customHeight="1">
      <c r="A27" s="14" t="inlineStr">
        <is>
          <t>- Cross-Workstream Dependency (Valuation Analysis, Deal Structuring Analyst): The determination that offer_enterprise_value (6300.0) is within the valuation range depends on valuation methods whose inputs (multiples, WACC, growth rates) are unverified assumptions, while the transaction structure's equity value and per-share impacts depend on target net debt (-764.397) and acquirer share basis (612.2135).</t>
        </is>
      </c>
    </row>
    <row r="28" ht="40.5" customHeight="1">
      <c r="A28" s="14" t="inlineStr">
        <is>
          <t>- Cross-Workstream Dependency (Deal Structuring Analyst, Financial Due Diligence): The accretion/dilution results (pro_forma_eps of 12.6077 excluding synergies and 12.9975 including run-rate synergies) depend on the financing convention modelling 4945.0779 of new debt at an interest rate of 0.055, which remains an unconfirmed financing structure lacking committed term sheets.</t>
        </is>
      </c>
    </row>
    <row r="29"/>
    <row r="30">
      <c r="A30" s="47" t="inlineStr">
        <is>
          <t>Risk Mitigation / Diligence Actions</t>
        </is>
      </c>
    </row>
    <row r="31" ht="27" customHeight="1">
      <c r="A31" s="14" t="inlineStr">
        <is>
          <t>- Recommended diligence action: obtain detailed product, technology, and capability disclosures for EPAM Systems, Inc. to evaluate whether a product-led strategic rationale exists.</t>
        </is>
      </c>
    </row>
    <row r="32">
      <c r="A32" s="14" t="inlineStr">
        <is>
          <t>- Recommended diligence action: obtain customer concentration and contract details for EPAM Systems, Inc. to assess customer retention risk.</t>
        </is>
      </c>
    </row>
    <row r="33" ht="27" customHeight="1">
      <c r="A33" s="14" t="inlineStr">
        <is>
          <t>- Recommended diligence action: review the operational feasibility and timeline underlying the annual_cost_synergy of 250.0, the annual_revenue_synergy_ebitda of 75.0, and the integration_cost of 300.0.</t>
        </is>
      </c>
    </row>
    <row r="34" ht="27" customHeight="1">
      <c r="A34" s="14" t="inlineStr">
        <is>
          <t>- Recommended diligence action: obtain detailed departmental headcount data and organizational charts for both companies to evaluate potential headcount overlap supporting cost synergies.</t>
        </is>
      </c>
    </row>
    <row r="35">
      <c r="A35" s="14" t="inlineStr">
        <is>
          <t>- Recommended diligence action: review vendor contracts and procurement spending data to validate supply chain and administrative cost savings.</t>
        </is>
      </c>
    </row>
    <row r="36">
      <c r="A36" s="14" t="inlineStr">
        <is>
          <t>- Recommended diligence action: obtain facility lease agreements and real estate occupancy reports to assess facility consolidation feasibility.</t>
        </is>
      </c>
    </row>
    <row r="37" ht="27" customHeight="1">
      <c r="A37" s="14" t="inlineStr">
        <is>
          <t>- Recommended diligence action: acquire customer lists, contract terms, and historical cross-selling data to evaluate the feasibility of revenue synergies.</t>
        </is>
      </c>
    </row>
    <row r="38" ht="27" customHeight="1">
      <c r="A38" s="14" t="inlineStr">
        <is>
          <t>- Recommended diligence action: examine IT infrastructure and software license inventories to verify opportunities for duplicated systems and vendor consolidation.</t>
        </is>
      </c>
    </row>
    <row r="39">
      <c r="A39" s="14" t="inlineStr">
        <is>
          <t>- Recommended diligence action: obtain multi-period financial statements to assess historical growth consistency and trend stability.</t>
        </is>
      </c>
    </row>
    <row r="40" ht="27" customHeight="1">
      <c r="A40" s="14" t="inlineStr">
        <is>
          <t>- Recommended diligence action: perform a detailed quality of earnings review to identify any non-recurring items, normalization adjustments, and revenue recognition practices.</t>
        </is>
      </c>
    </row>
    <row r="41">
      <c r="A41" s="14" t="inlineStr">
        <is>
          <t>- Recommended diligence action: review detailed capex schedules to distinguish between maintenance and growth capital expenditures.</t>
        </is>
      </c>
    </row>
    <row r="42">
      <c r="A42" s="14" t="inlineStr">
        <is>
          <t>- Recommended diligence action: examine detailed tax filings and jurisdictional exposures to verify tax liabilities and effective tax rates.</t>
        </is>
      </c>
    </row>
    <row r="43" ht="27" customHeight="1">
      <c r="A43" s="14" t="inlineStr">
        <is>
          <t>- Recommended diligence action: obtain and review all material contracts, customer agreements, and vendor contracts for change-of-control provisions and assignment restrictions.</t>
        </is>
      </c>
    </row>
    <row r="44" ht="27" customHeight="1">
      <c r="A44" s="14" t="inlineStr">
        <is>
          <t>- Recommended diligence action: conduct a comprehensive legal audit of pending litigation, regulatory compliance filings, and historical dispute records.</t>
        </is>
      </c>
    </row>
    <row r="45" ht="27" customHeight="1">
      <c r="A45" s="14" t="inlineStr">
        <is>
          <t>- Recommended diligence action: review intellectual property ownership records, patent portfolios, and inbound/outbound software licensing agreements.</t>
        </is>
      </c>
    </row>
    <row r="46">
      <c r="A46" s="14" t="inlineStr">
        <is>
          <t>- Recommended diligence action: examine data privacy compliance policies, GDPR/CCPA adherence records, and cybersecurity audit reports.</t>
        </is>
      </c>
    </row>
    <row r="47" ht="27" customHeight="1">
      <c r="A47" s="14" t="inlineStr">
        <is>
          <t>- Recommended diligence action: inspect employee census data, collective bargaining agreements, pension obligations, and historical employment liabilities.</t>
        </is>
      </c>
    </row>
    <row r="48">
      <c r="A48" s="14" t="inlineStr">
        <is>
          <t>- Recommended diligence action: audit tax filings, open tax audits, and historical tax dispute documentation.</t>
        </is>
      </c>
    </row>
    <row r="49">
      <c r="A49" s="14" t="inlineStr">
        <is>
          <t>- Recommended diligence action: obtain committed financing term sheets to replace the deterministic modelling convention regarding new debt.</t>
        </is>
      </c>
    </row>
    <row r="50">
      <c r="A50" s="14" t="inlineStr">
        <is>
          <t>- Recommended diligence action: investigate the treatment and potential refinancing terms of the target's existing debt.</t>
        </is>
      </c>
    </row>
    <row r="51">
      <c r="A51" s="14" t="inlineStr">
        <is>
          <t>- Recommended diligence action: negotiate purchase-price adjustment mechanisms, working capital targets, and escrow or holdback terms.</t>
        </is>
      </c>
    </row>
    <row r="52">
      <c r="A52" s="14" t="inlineStr">
        <is>
          <t>- Recommended diligence action: evaluate required regulatory filings and merger control approvals.</t>
        </is>
      </c>
    </row>
    <row r="53">
      <c r="A53" s="14" t="inlineStr">
        <is>
          <t>- Recommended diligence action: review management retention and equity rollover terms to align post-closing incentives.</t>
        </is>
      </c>
    </row>
    <row r="54"/>
    <row r="55">
      <c r="A55" s="47" t="inlineStr">
        <is>
          <t>Items for Investment Committee Attention</t>
        </is>
      </c>
    </row>
    <row r="56" ht="40.5" customHeight="1">
      <c r="A56" s="14" t="inlineStr">
        <is>
          <t>- Whether the valuation range (spanning from the Comparable Companies enterprise value of 5287.4748 to the Discounted Cash Flow enterprise value of 9863.0608) adequately supports the offer_enterprise_value of 6300.0, given that the offer sits above Comparable Companies but below Precedent Transactions (7931.2122) and Discounted Cash Flow.</t>
        </is>
      </c>
    </row>
    <row r="57" ht="27" customHeight="1">
      <c r="A57" s="14" t="inlineStr">
        <is>
          <t>- Whether the unverified synergy assumptions (`annual_cost_synergy` of 250.0, `annual_revenue_synergy_ebitda` of 75.0, and `integration_cost` of 300.0) are sufficiently grounded in operational evidence, noting that the deterministic net_synergy_value is 608.6724.</t>
        </is>
      </c>
    </row>
    <row r="58" ht="27" customHeight="1">
      <c r="A58" s="14" t="inlineStr">
        <is>
          <t>- Whether the financing structure modelled in DETERMINISTIC CALCULATIONS (4945.0779 of new debt generating an annual after-tax interest expense of 203.1685 at an interest rate of 0.055) is acceptable given the absence of committed financing term sheets and confirmed debt capacity.</t>
        </is>
      </c>
    </row>
    <row r="59" ht="27" customHeight="1">
      <c r="A59" s="14" t="inlineStr">
        <is>
          <t>- Whether the numerous information gaps across product fit, customer concentration, quality of earnings, legal compliance, and operational systems can be resolved before transaction commitment.</t>
        </is>
      </c>
    </row>
    <row r="60"/>
    <row r="61">
      <c r="A61" s="3" t="inlineStr">
        <is>
          <t>IC PARTNER — FINAL QUALITY REVIEW</t>
        </is>
      </c>
    </row>
    <row r="62">
      <c r="A62" s="14" t="inlineStr">
        <is>
          <t>Review round: 1 of 1 used</t>
        </is>
      </c>
    </row>
    <row r="63">
      <c r="A63" s="48" t="inlineStr">
        <is>
          <t>Review status: approved</t>
        </is>
      </c>
    </row>
    <row r="64" ht="40.5" customHeight="1">
      <c r="A64" s="14" t="inlineStr">
        <is>
          <t>Summary: All prior workstream analyses adhere to DEAL DATA and DETERMINISTIC CALCULATIONS. Factual claims trace directly to supplied inputs, numerical values are quoted without unauthorized arithmetic or reformatting, assumptions are appropriately labelled, and information gaps are preserved without being converted into red flags.</t>
        </is>
      </c>
    </row>
    <row r="65"/>
    <row r="66">
      <c r="A66" s="47" t="inlineStr">
        <is>
          <t>Cross-workstream issues</t>
        </is>
      </c>
    </row>
    <row r="67">
      <c r="A67" s="14" t="inlineStr">
        <is>
          <t>• None recorded in the final IC review.</t>
        </is>
      </c>
    </row>
    <row r="68"/>
    <row r="69">
      <c r="A69" s="47" t="inlineStr">
        <is>
          <t>Unresolved information gaps</t>
        </is>
      </c>
    </row>
    <row r="70">
      <c r="A70" s="14" t="inlineStr">
        <is>
          <t>• Product, technology, capability, and customer disclosures for EPAM Systems, Inc. are absent from DEAL DATA.</t>
        </is>
      </c>
    </row>
    <row r="71" ht="27" customHeight="1">
      <c r="A71" s="14" t="inlineStr">
        <is>
          <t>• Multi-period financial statements, quality of earnings reports, capex schedules, tax filings, and working capital details for the target are absent from DEAL DATA.</t>
        </is>
      </c>
    </row>
    <row r="72">
      <c r="A72" s="14" t="inlineStr">
        <is>
          <t>• Market size, growth rates, competitive landscape, and pricing power data are absent from DEAL DATA.</t>
        </is>
      </c>
    </row>
    <row r="73" ht="27" customHeight="1">
      <c r="A73" s="14" t="inlineStr">
        <is>
          <t>• Material contracts, change-of-control clauses, litigation records, regulatory compliance filings, IP portfolios, privacy policies, and employee census data are absent from DEAL DATA.</t>
        </is>
      </c>
    </row>
    <row r="74" ht="27" customHeight="1">
      <c r="A74" s="14" t="inlineStr">
        <is>
          <t>• Organizational charts, IT infrastructure inventories, cybersecurity audit reports, vendor contracts, and real estate lease agreements are absent from DEAL DATA.</t>
        </is>
      </c>
    </row>
    <row r="75" ht="27" customHeight="1">
      <c r="A75" s="14" t="inlineStr">
        <is>
          <t>• Committed financing term sheets, definitive debt financing agreements, refinancing terms for target existing debt, rollover equity terms, and purchase-price adjustment mechanisms are absent from DEAL DATA.</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A57"/>
  <sheetViews>
    <sheetView showGridLines="0" workbookViewId="0">
      <selection activeCell="A1" sqref="A1"/>
    </sheetView>
  </sheetViews>
  <sheetFormatPr baseColWidth="8" defaultRowHeight="15"/>
  <cols>
    <col width="120" customWidth="1" min="1" max="1"/>
  </cols>
  <sheetData>
    <row r="1">
      <c r="A1" s="1" t="inlineStr">
        <is>
          <t>Investment Committee Memo</t>
        </is>
      </c>
    </row>
    <row r="2">
      <c r="A2" s="2" t="inlineStr">
        <is>
          <t>Generated from deterministic Python calculations and final reviewed AI analyses.</t>
        </is>
      </c>
    </row>
    <row r="3"/>
    <row r="4">
      <c r="A4" s="3" t="inlineStr">
        <is>
          <t>IC CONCLUSION</t>
        </is>
      </c>
    </row>
    <row r="5">
      <c r="A5" s="13" t="inlineStr">
        <is>
          <t>Decision deferred pending additional information</t>
        </is>
      </c>
    </row>
    <row r="6"/>
    <row r="7">
      <c r="A7" s="46" t="inlineStr">
        <is>
          <t>Investment Committee Memorandum</t>
        </is>
      </c>
    </row>
    <row r="8"/>
    <row r="9">
      <c r="A9" s="47" t="inlineStr">
        <is>
          <t>Transaction Overview</t>
        </is>
      </c>
    </row>
    <row r="10" ht="67.5" customHeight="1">
      <c r="A10" s="14" t="inlineStr">
        <is>
          <t>This memorandum evaluates the proposed transaction in which Accenture plc ("acquirer") acquires EPAM Systems, Inc. ("target"). DEAL DATA reports that Accenture plc has revenue of 69672.977, EBITDA of 11594.049, net_income of 7678.433, cash of 10165.245, and debt of 5142.265, with an acquirer share basis of 612.213453, defined in DEAL DATA as weighted-average basic shares used as a modelling proxy, and a share price of 198.9. EPAM Systems, Inc. reports revenue of 5457.056, EBITDA of 644.814, net_income of 377.678, free_cash_flow of 612.691, cash of 789.397, and debt of 25.0.</t>
        </is>
      </c>
    </row>
    <row r="11" ht="40.5" customHeight="1">
      <c r="A11" s="14" t="inlineStr">
        <is>
          <t>The supplied offer terms consist of an offer_enterprise_value of 6300.0. The consideration structure comprises a cash_percentage of 0.7 and a stock_percentage of 0.3. As noted in DETERMINISTIC CALCULATIONS, debt funding of the cash portion is a modelling convention of the deterministic model, not a confirmed financing plan.</t>
        </is>
      </c>
    </row>
    <row r="12"/>
    <row r="13">
      <c r="A13" s="47" t="inlineStr">
        <is>
          <t>Executive Summary</t>
        </is>
      </c>
    </row>
    <row r="14" ht="121.5" customHeight="1">
      <c r="A14" s="14" t="inlineStr">
        <is>
          <t>The deal team has reviewed the supplied DEAL DATA and DETERMINISTIC CALCULATIONS. The strategic rationale remains unassessed due to the absence of product, technology, capability, and customer data in DEAL DATA. Valuation methods produce an enterprise value range from a low of 5287.4748 under the Comparable Companies method to a high of 9863.0608 under the Discounted Cash Flow method, with the offer_enterprise_value of 6300.0 sitting within the range. Synergy assumptions (annual_cost_synergy of 250.0 and annual_revenue_synergy_ebitda of 75.0) yield a deterministic pv_synergies of 908.6724 and a net_synergy_value of 608.6724 after deducting an integration_cost of 300.0, though these synergy assumptions remain unverified. Financial, commercial, legal, and operational due diligence is severely constrained by extensive information gaps, including the complete absence of multi-period financial statements, material contracts, customer concentration data, organizational charts, and committed financing term sheets. Major unresolved issues include unverified synergy assumptions, unconfirmed financing arrangements, and pervasive information gaps across all diligence workstreams.</t>
        </is>
      </c>
    </row>
    <row r="15"/>
    <row r="16">
      <c r="A16" s="47" t="inlineStr">
        <is>
          <t>Strategic Rationale</t>
        </is>
      </c>
    </row>
    <row r="17" ht="67.5" customHeight="1">
      <c r="A17" s="14" t="inlineStr">
        <is>
          <t>The Deal Lead and Strategic Fit Analyst observe that DEAL DATA reports revenue of 69672.977 and EBITDA of 11594.049 for Accenture plc, and revenue of 5457.056 and EBITDA of 644.814 for EPAM Systems, Inc. However, DEAL DATA contains no product, technology, capability, customer, geographic, or market-share information for either company. Consequently, a product-led or capability-led strategic rationale, geographic fit, commercial positioning, and buy-versus-build considerations cannot be assessed from the supplied data. These areas represent significant unresolved information gaps.</t>
        </is>
      </c>
    </row>
    <row r="18"/>
    <row r="19">
      <c r="A19" s="47" t="inlineStr">
        <is>
          <t>Valuation</t>
        </is>
      </c>
    </row>
    <row r="20">
      <c r="A20" s="14" t="inlineStr">
        <is>
          <t>DETERMINISTIC CALCULATIONS provides three valuation methods for EPAM Systems, Inc., all on an enterprise value basis:</t>
        </is>
      </c>
    </row>
    <row r="21" ht="27" customHeight="1">
      <c r="A21" s="14" t="inlineStr">
        <is>
          <t>- Comparable Companies: produces an enterprise value of 5287.4748, using an EBITDA of 644.814 and a comparable_ev_ebitda_multiple of 8.2 (a DEAL DATA ASSUMPTION). Marked applicable and included in the range.</t>
        </is>
      </c>
    </row>
    <row r="22" ht="27" customHeight="1">
      <c r="A22" s="14" t="inlineStr">
        <is>
          <t>- Precedent Transactions: produces an enterprise value of 7931.2122, using an EBITDA of 644.814 and a precedent_ev_ebitda_multiple of 12.3 (a DEAL DATA ASSUMPTION). Marked applicable and included in the range.</t>
        </is>
      </c>
    </row>
    <row r="23" ht="40.5" customHeight="1">
      <c r="A23" s="14" t="inlineStr">
        <is>
          <t>- Discounted Cash Flow: produces an enterprise value of 9863.0608, using a base_fcf of 612.691, a growth_rate of 0.08 (a DEAL DATA ASSUMPTION), a wacc of 0.105 (a DEAL DATA ASSUMPTION), a terminal_growth_rate of 0.025 (a DEAL DATA ASSUMPTION), and forecast_years of 5. Marked applicable and included in the range.</t>
        </is>
      </c>
    </row>
    <row r="24" ht="54" customHeight="1">
      <c r="A24" s="14" t="inlineStr">
        <is>
          <t>The valuation summary reports a low enterprise value of 5287.4748 (Comparable Companies), a high enterprise value of 9863.0608 (Discounted Cash Flow), a midpoint of 7575.2678, and an average of 7693.9159. The transaction offer_enterprise_value of 6300.0 is within the valuation range, sitting above the Comparable Companies method but below the Precedent Transactions method and the Discounted Cash Flow method. Target net debt is reported as -764.397 (comprising target cash of 789.397 and target debt of 25.0), resulting in an offer_equity_value of 7064.397.</t>
        </is>
      </c>
    </row>
    <row r="25"/>
    <row r="26">
      <c r="A26" s="47" t="inlineStr">
        <is>
          <t>Synergies</t>
        </is>
      </c>
    </row>
    <row r="27" ht="40.5" customHeight="1">
      <c r="A27" s="14" t="inlineStr">
        <is>
          <t>The synergy analysis is based on DEAL DATA ASSUMPTIONS: an annual_cost_synergy of 250.0, an annual_revenue_synergy_ebitda of 75.0, a realization_years of 5, an integration_cost of 300.0, a tax_rate of 0.253, and a discount_rate of 0.105. These assumptions are unverified and require operational and commercial diligence.</t>
        </is>
      </c>
    </row>
    <row r="28" ht="67.5" customHeight="1">
      <c r="A28" s="14" t="inlineStr">
        <is>
          <t>DETERMINISTIC CALCULATIONS reports annual pre-tax synergies of 325.0, annual after-tax synergies of 242.775, a pv_synergies of 908.6724, and a net_synergy_value of 608.6724 (reflecting net_synergy_value_status as positive and integration_cost_vs_pv_synergies as below). The modelling conventions assume run-rate synergies are counted in full from year one with no ramp-up, last only for the realization period with no terminal value, and treat integration cost as a one-off cost at close, undiscounted and not tax-deductible. Operational breakdowns and commercial evidence to validate these synergy assumptions are absent.</t>
        </is>
      </c>
    </row>
    <row r="29"/>
    <row r="30">
      <c r="A30" s="47" t="inlineStr">
        <is>
          <t>Financial Due Diligence</t>
        </is>
      </c>
    </row>
    <row r="31" ht="40.5" customHeight="1">
      <c r="A31" s="14" t="inlineStr">
        <is>
          <t>Observed financial evidence includes target revenue of 5457.056, EBITDA of 644.814, net_income of 377.678, free_cash_flow of 612.691, cash of 789.397, and debt of 25.0 (resulting in target net debt of -764.397). Acquirer financial figures include revenue of 69672.977, EBITDA of 11594.049, net_income of 7678.433, cash of 10165.245, and debt of 5142.265.</t>
        </is>
      </c>
    </row>
    <row r="32" ht="54" customHeight="1">
      <c r="A32" s="14" t="inlineStr">
        <is>
          <t>Quality of earnings cannot be assessed because multi-period financial statements, accounting quality policies, revenue recognition details, non-recurring adjustments, and QoE reports are entirely absent from DEAL DATA. Similarly, cash flow statement details, capital expenditure schedules, working capital components, tax exposure details, and customer concentration data represent significant information gaps. No evidence-backed financial red flag can be concluded from the supplied data alone.</t>
        </is>
      </c>
    </row>
    <row r="33"/>
    <row r="34">
      <c r="A34" s="47" t="inlineStr">
        <is>
          <t>Commercial Due Diligence</t>
        </is>
      </c>
    </row>
    <row r="35" ht="54" customHeight="1">
      <c r="A35" s="14" t="inlineStr">
        <is>
          <t>No commercial evidence is supplied in DEAL DATA or DETERMINISTIC CALCULATIONS. Market size, market growth, addressable market, competitive landscape, competitor market-share, customer concentration, customer churn, retention rates, recurring revenue figures, pricing power metrics, sales channels, and product differentiation data are entirely absent. These missing items represent commercial information gaps rather than evidence-backed red flags.</t>
        </is>
      </c>
    </row>
    <row r="36"/>
    <row r="37">
      <c r="A37" s="47" t="inlineStr">
        <is>
          <t>Legal &amp; Operational Due Diligence</t>
        </is>
      </c>
    </row>
    <row r="38" ht="81" customHeight="1">
      <c r="A38" s="14" t="inlineStr">
        <is>
          <t>Observed legal and operational evidence is limited to cash and debt balances and synergy assumptions. All key legal and operational areas represent information gaps due to the absence of source documentation: material contracts and change-of-control clauses, litigation records, regulatory compliance filings, intellectual property portfolios, data privacy and cybersecurity policies, employee census data and labor agreements, tax dispute records, organizational charts and headcount rosters, key-person retention agreements, IT infrastructure inventories, critical vendor contracts, and real estate lease agreements are unavailable. No evidence-backed legal or operational red flags can be concluded from the supplied data alone.</t>
        </is>
      </c>
    </row>
    <row r="39"/>
    <row r="40">
      <c r="A40" s="47" t="inlineStr">
        <is>
          <t>Transaction Structure &amp; Financing</t>
        </is>
      </c>
    </row>
    <row r="41" ht="67.5" customHeight="1">
      <c r="A41" s="14" t="inlineStr">
        <is>
          <t>DETERMINISTIC CALCULATIONS reports an offer enterprise value of 6300.0 and target net debt of -764.397, yielding an offer equity value of 7064.397. Consideration is structured with a cash_percentage of 0.7 (4945.0779) and a stock_percentage of 0.3 (2119.3191). The stock portion is satisfied by issuing 10.6552 new shares at the acquirer share price of 198.9, based on the acquirer share basis of 612.2135 (weighted-average basic shares used as a modelling proxy). Pro forma shares outstanding are reported as 622.8687, with seller ownership of 0.0171 and existing acquirer holder ownership of 0.9829.</t>
        </is>
      </c>
    </row>
    <row r="42" ht="94.5" customHeight="1">
      <c r="A42" s="14" t="inlineStr">
        <is>
          <t>Per the financing convention in the deterministic model, the cash portion of the equity purchase price is modelled as funded entirely with new acquisition debt of 4945.0779 at the new_debt_interest_rate of 0.055, generating an annual pre-tax interest expense of 271.9793 and an annual after-tax interest expense of 203.1685. This is an existing modelling convention, not a confirmed financing plan. Accretion/dilution results are reported as Accretive under both the excluding-synergies case (pro forma EPS of 12.6077 vs. standalone EPS of 12.5421, representing an eps_change of 0.0656 and an eps_change_pct of 0.0052) and the including-run-rate-synergies case (pro forma EPS of 12.9975, representing an eps_change of 0.4554 and an eps_change_pct of 0.0363). Financing sources, debt term sheets, refinancing terms for target existing debt, rollover equity terms, and purchase-price adjustment mechanisms are absent.</t>
        </is>
      </c>
    </row>
    <row r="43"/>
    <row r="44">
      <c r="A44" s="47" t="inlineStr">
        <is>
          <t>Key Risks &amp; Unresolved Matters</t>
        </is>
      </c>
    </row>
    <row r="45" ht="81" customHeight="1">
      <c r="A45" s="14" t="inlineStr">
        <is>
          <t>Evidence-backed risks include the wide enterprise value dispersion across valuation methods (ranging from 5287.4748 to 9863.0608) and the substantial debt obligations introduced by the financing modelling convention (4945.0779 of new debt generating annual after-tax interest expense of 203.1685). Unverified assumptions include all valuation inputs (comparable multiples, precedent multiples, FCF growth rate, WACC, terminal growth rate), synergy assumptions (cost synergies, revenue synergies, realization years, integration cost, tax rate, discount rate), and transaction assumptions (cash/stock percentages, interest rate). Extensive information gaps persist across product fit, financial statements, market data, legal contracts, operational systems, and committed financing.</t>
        </is>
      </c>
    </row>
    <row r="46"/>
    <row r="47">
      <c r="A47" s="47" t="inlineStr">
        <is>
          <t>Conditions / Required Next Steps</t>
        </is>
      </c>
    </row>
    <row r="48">
      <c r="A48" s="14" t="inlineStr">
        <is>
          <t>Before any transaction commitment can be considered, the following diligence actions and conditions must be fulfilled:</t>
        </is>
      </c>
    </row>
    <row r="49">
      <c r="A49" s="14" t="inlineStr">
        <is>
          <t>- Obtain detailed product, technology, and capability disclosures for EPAM Systems, Inc. to evaluate strategic fit.</t>
        </is>
      </c>
    </row>
    <row r="50">
      <c r="A50" s="14" t="inlineStr">
        <is>
          <t>- Obtain multi-period financial statements and perform a comprehensive quality of earnings review.</t>
        </is>
      </c>
    </row>
    <row r="51">
      <c r="A51" s="14" t="inlineStr">
        <is>
          <t>- Acquire customer concentration reports, key commercial contracts, and customer retention data.</t>
        </is>
      </c>
    </row>
    <row r="52">
      <c r="A52" s="14" t="inlineStr">
        <is>
          <t>- Conduct legal due diligence on material contracts, change-of-control provisions, litigation records, IP portfolios, and regulatory compliance.</t>
        </is>
      </c>
    </row>
    <row r="53" ht="27" customHeight="1">
      <c r="A53" s="14" t="inlineStr">
        <is>
          <t>- Obtain departmental headcount data, organizational charts, IT infrastructure inventories, and real estate lease agreements to test synergy feasibility.</t>
        </is>
      </c>
    </row>
    <row r="54">
      <c r="A54" s="14" t="inlineStr">
        <is>
          <t>- Obtain committed financing term sheets and definitive debt financing agreements to replace the deterministic financing convention.</t>
        </is>
      </c>
    </row>
    <row r="55"/>
    <row r="56">
      <c r="A56" s="47" t="inlineStr">
        <is>
          <t>Investment Committee Conclusion</t>
        </is>
      </c>
    </row>
    <row r="57">
      <c r="A57" s="14" t="inlineStr">
        <is>
          <t>Decision deferred pending additional information</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2026-10-03T18:10:38Z</dcterms:created>
  <dcterms:modified xsi:type="dcterms:W3CDTF">2026-10-03T18:10:38Z</dcterms:modified>
</cp:coreProperties>
</file>