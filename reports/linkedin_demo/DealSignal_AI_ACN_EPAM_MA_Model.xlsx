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C Summary" sheetId="1" state="visible" r:id="rId1"/>
    <sheet name="Assumptions" sheetId="2" state="visible" r:id="rId2"/>
    <sheet name="Valuation" sheetId="3" state="visible" r:id="rId3"/>
    <sheet name="Synergies" sheetId="4" state="visible" r:id="rId4"/>
    <sheet name="Transaction Structure" sheetId="5" state="visible" r:id="rId5"/>
    <sheet name="Accretion Dilution" sheetId="6" state="visible" r:id="rId6"/>
    <sheet name="Due Diligence" sheetId="7" state="visible" r:id="rId7"/>
    <sheet name="Risk Summary" sheetId="8" state="visible" r:id="rId8"/>
    <sheet name="IC Memo" sheetId="9" state="visible" r:id="rId9"/>
  </sheets>
  <definedNames>
    <definedName name="_xlnm.Print_Titles" localSheetId="0">'IC Summary'!$1:$2</definedName>
    <definedName name="_xlnm.Print_Titles" localSheetId="1">'Assumptions'!$1:$2</definedName>
    <definedName name="_xlnm.Print_Titles" localSheetId="2">'Valuation'!$1:$2</definedName>
    <definedName name="_xlnm.Print_Titles" localSheetId="3">'Synergies'!$1:$2</definedName>
    <definedName name="_xlnm.Print_Titles" localSheetId="4">'Transaction Structure'!$1:$2</definedName>
    <definedName name="_xlnm.Print_Titles" localSheetId="5">'Accretion Dilution'!$1:$2</definedName>
    <definedName name="_xlnm.Print_Titles" localSheetId="6">'Due Diligence'!$1:$2</definedName>
    <definedName name="_xlnm.Print_Titles" localSheetId="7">'Risk Summary'!$1:$2</definedName>
    <definedName name="_xlnm.Print_Titles" localSheetId="8">'IC Memo'!$1:$2</definedName>
  </definedNames>
  <calcPr calcId="124519" calcMode="auto" fullCalcOnLoad="1" forceFullCalc="1"/>
</workbook>
</file>

<file path=xl/styles.xml><?xml version="1.0" encoding="utf-8"?>
<styleSheet xmlns="http://schemas.openxmlformats.org/spreadsheetml/2006/main">
  <numFmts count="7">
    <numFmt numFmtId="164" formatCode="#,##0.0;[Red](#,##0.0);-"/>
    <numFmt numFmtId="165" formatCode="0.0x"/>
    <numFmt numFmtId="166" formatCode="0.0%;[Red](0.0%);-"/>
    <numFmt numFmtId="167" formatCode="#,##0.0000;[Red](#,##0.0000);-"/>
    <numFmt numFmtId="168" formatCode="0.0%"/>
    <numFmt numFmtId="169" formatCode="0.0000"/>
    <numFmt numFmtId="170" formatCode="0.0000;[Red](0.0000);-"/>
  </numFmts>
  <fonts count="13">
    <font>
      <name val="Calibri"/>
      <family val="2"/>
      <color theme="1"/>
      <sz val="11"/>
      <scheme val="minor"/>
    </font>
    <font>
      <name val="Arial"/>
      <b val="1"/>
      <color rgb="001F3864"/>
      <sz val="14"/>
    </font>
    <font>
      <name val="Arial"/>
      <i val="1"/>
      <color rgb="00595959"/>
      <sz val="9"/>
    </font>
    <font>
      <name val="Arial"/>
      <i val="1"/>
      <color rgb="00595959"/>
      <sz val="10"/>
    </font>
    <font>
      <name val="Arial"/>
      <b val="1"/>
      <color rgb="00FFFFFF"/>
      <sz val="10"/>
    </font>
    <font>
      <name val="Arial"/>
      <color rgb="00000000"/>
      <sz val="10"/>
    </font>
    <font>
      <name val="Arial"/>
      <color rgb="000000FF"/>
      <sz val="10"/>
    </font>
    <font>
      <name val="Arial"/>
      <color rgb="00008000"/>
      <sz val="10"/>
    </font>
    <font>
      <name val="Arial"/>
      <b val="1"/>
      <color rgb="00000000"/>
      <sz val="10"/>
    </font>
    <font>
      <name val="Arial"/>
      <b val="1"/>
      <color rgb="00008000"/>
      <sz val="10"/>
    </font>
    <font>
      <name val="Arial"/>
      <b val="1"/>
      <color rgb="001F3864"/>
      <sz val="12"/>
    </font>
    <font>
      <name val="Arial"/>
      <b val="1"/>
      <color rgb="001F3864"/>
      <sz val="10"/>
    </font>
    <font>
      <name val="Arial"/>
      <b val="1"/>
      <color rgb="00000000"/>
      <sz val="12"/>
    </font>
  </fonts>
  <fills count="4">
    <fill>
      <patternFill/>
    </fill>
    <fill>
      <patternFill patternType="gray125"/>
    </fill>
    <fill>
      <patternFill patternType="solid">
        <fgColor rgb="001F3864"/>
      </patternFill>
    </fill>
    <fill>
      <patternFill patternType="solid">
        <fgColor rgb="00FFF2CC"/>
      </patternFill>
    </fill>
  </fills>
  <borders count="3">
    <border>
      <left/>
      <right/>
      <top/>
      <bottom/>
      <diagonal/>
    </border>
    <border>
      <bottom style="thin">
        <color rgb="00BFBFBF"/>
      </bottom>
    </border>
    <border>
      <bottom style="thin">
        <color rgb="001F3864"/>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top"/>
    </xf>
    <xf numFmtId="0" fontId="7" fillId="0" borderId="0" applyAlignment="1" pivotButton="0" quotePrefix="0" xfId="0">
      <alignment horizontal="right" vertical="top"/>
    </xf>
    <xf numFmtId="164" fontId="7" fillId="0" borderId="0" applyAlignment="1" pivotButton="0" quotePrefix="0" xfId="0">
      <alignment horizontal="right" vertical="top"/>
    </xf>
    <xf numFmtId="166" fontId="7" fillId="0" borderId="0" applyAlignment="1" pivotButton="0" quotePrefix="0" xfId="0">
      <alignment horizontal="right" vertical="top"/>
    </xf>
    <xf numFmtId="0" fontId="5" fillId="0" borderId="0" applyAlignment="1" pivotButton="0" quotePrefix="0" xfId="0">
      <alignment horizontal="right" vertical="top"/>
    </xf>
    <xf numFmtId="1" fontId="5" fillId="0" borderId="0" applyAlignment="1" pivotButton="0" quotePrefix="0" xfId="0">
      <alignment horizontal="right" vertical="top"/>
    </xf>
    <xf numFmtId="0" fontId="3" fillId="0" borderId="0" applyAlignment="1" pivotButton="0" quotePrefix="0" xfId="0">
      <alignment horizontal="left" vertical="top" wrapText="1"/>
    </xf>
    <xf numFmtId="4" fontId="7" fillId="0" borderId="0" applyAlignment="1" pivotButton="0" quotePrefix="0" xfId="0">
      <alignment horizontal="right" vertical="top"/>
    </xf>
    <xf numFmtId="168" fontId="7" fillId="0" borderId="0" applyAlignment="1" pivotButton="0" quotePrefix="0" xfId="0">
      <alignment horizontal="right" vertical="top"/>
    </xf>
    <xf numFmtId="0" fontId="1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right" vertical="top"/>
    </xf>
    <xf numFmtId="164" fontId="6" fillId="0" borderId="0" applyAlignment="1" pivotButton="0" quotePrefix="0" xfId="0">
      <alignment horizontal="right" vertical="top"/>
    </xf>
    <xf numFmtId="4" fontId="6" fillId="0" borderId="0" applyAlignment="1" pivotButton="0" quotePrefix="0" xfId="0">
      <alignment horizontal="right" vertical="top"/>
    </xf>
    <xf numFmtId="165" fontId="6" fillId="0" borderId="0" applyAlignment="1" pivotButton="0" quotePrefix="0" xfId="0">
      <alignment horizontal="right" vertical="top"/>
    </xf>
    <xf numFmtId="1" fontId="6" fillId="0" borderId="0" applyAlignment="1" pivotButton="0" quotePrefix="0" xfId="0">
      <alignment horizontal="right" vertical="top"/>
    </xf>
    <xf numFmtId="166" fontId="6" fillId="3" borderId="0" applyAlignment="1" pivotButton="0" quotePrefix="0" xfId="0">
      <alignment horizontal="right" vertical="top"/>
    </xf>
    <xf numFmtId="164" fontId="6" fillId="3" borderId="0" applyAlignment="1" pivotButton="0" quotePrefix="0" xfId="0">
      <alignment horizontal="right" vertical="top"/>
    </xf>
    <xf numFmtId="1" fontId="6" fillId="3" borderId="0" applyAlignment="1" pivotButton="0" quotePrefix="0" xfId="0">
      <alignment horizontal="right" vertical="top"/>
    </xf>
    <xf numFmtId="166" fontId="6" fillId="0" borderId="0" applyAlignment="1" pivotButton="0" quotePrefix="0" xfId="0">
      <alignment horizontal="right" vertical="top"/>
    </xf>
    <xf numFmtId="0" fontId="8" fillId="0" borderId="1" applyAlignment="1" pivotButton="0" quotePrefix="0" xfId="0">
      <alignment horizontal="left" wrapText="1"/>
    </xf>
    <xf numFmtId="0" fontId="8" fillId="0" borderId="1" applyAlignment="1" pivotButton="0" quotePrefix="0" xfId="0">
      <alignment horizontal="right" wrapText="1"/>
    </xf>
    <xf numFmtId="164" fontId="5" fillId="0" borderId="0" applyAlignment="1" pivotButton="0" quotePrefix="0" xfId="0">
      <alignment horizontal="right" vertical="top"/>
    </xf>
    <xf numFmtId="164" fontId="9" fillId="0" borderId="0" applyAlignment="1" pivotButton="0" quotePrefix="0" xfId="0">
      <alignment horizontal="right" vertical="top"/>
    </xf>
    <xf numFmtId="165" fontId="7" fillId="0" borderId="0" applyAlignment="1" pivotButton="0" quotePrefix="0" xfId="0">
      <alignment horizontal="right" vertical="top"/>
    </xf>
    <xf numFmtId="1" fontId="7" fillId="0" borderId="0" applyAlignment="1" pivotButton="0" quotePrefix="0" xfId="0">
      <alignment horizontal="right" vertical="top"/>
    </xf>
    <xf numFmtId="1" fontId="5" fillId="0" borderId="0" applyAlignment="1" pivotButton="0" quotePrefix="0" xfId="0">
      <alignment horizontal="left" vertical="top"/>
    </xf>
    <xf numFmtId="167" fontId="5" fillId="0" borderId="0" applyAlignment="1" pivotButton="0" quotePrefix="0" xfId="0">
      <alignment horizontal="right" vertical="top"/>
    </xf>
    <xf numFmtId="169" fontId="5" fillId="0" borderId="0" applyAlignment="1" pivotButton="0" quotePrefix="0" xfId="0">
      <alignment horizontal="right" vertical="top"/>
    </xf>
    <xf numFmtId="167" fontId="8" fillId="0" borderId="0" applyAlignment="1" pivotButton="0" quotePrefix="0" xfId="0">
      <alignment horizontal="right" vertical="top"/>
    </xf>
    <xf numFmtId="166" fontId="5" fillId="0" borderId="0" applyAlignment="1" pivotButton="0" quotePrefix="0" xfId="0">
      <alignment horizontal="right" vertical="top"/>
    </xf>
    <xf numFmtId="164" fontId="7" fillId="3" borderId="0" applyAlignment="1" pivotButton="0" quotePrefix="0" xfId="0">
      <alignment horizontal="right" vertical="top"/>
    </xf>
    <xf numFmtId="1" fontId="7" fillId="3" borderId="0" applyAlignment="1" pivotButton="0" quotePrefix="0" xfId="0">
      <alignment horizontal="right" vertical="top"/>
    </xf>
    <xf numFmtId="164" fontId="8" fillId="0" borderId="0" applyAlignment="1" pivotButton="0" quotePrefix="0" xfId="0">
      <alignment horizontal="right" vertical="top"/>
    </xf>
    <xf numFmtId="0" fontId="8" fillId="3" borderId="0" applyAlignment="1" pivotButton="0" quotePrefix="0" xfId="0">
      <alignment horizontal="left" vertical="top" wrapText="1"/>
    </xf>
    <xf numFmtId="166" fontId="7" fillId="3" borderId="0" applyAlignment="1" pivotButton="0" quotePrefix="0" xfId="0">
      <alignment horizontal="right" vertical="top"/>
    </xf>
    <xf numFmtId="4" fontId="5" fillId="0" borderId="0" applyAlignment="1" pivotButton="0" quotePrefix="0" xfId="0">
      <alignment horizontal="right" vertical="top"/>
    </xf>
    <xf numFmtId="168" fontId="5" fillId="0" borderId="0" applyAlignment="1" pivotButton="0" quotePrefix="0" xfId="0">
      <alignment horizontal="right" vertical="top"/>
    </xf>
    <xf numFmtId="167" fontId="7" fillId="0" borderId="0" applyAlignment="1" pivotButton="0" quotePrefix="0" xfId="0">
      <alignment horizontal="right" vertical="top"/>
    </xf>
    <xf numFmtId="170" fontId="5" fillId="0" borderId="0" applyAlignment="1" pivotButton="0" quotePrefix="0" xfId="0">
      <alignment horizontal="right" vertical="top"/>
    </xf>
    <xf numFmtId="0" fontId="8" fillId="0" borderId="0" applyAlignment="1" pivotButton="0" quotePrefix="0" xfId="0">
      <alignment horizontal="right" vertical="top"/>
    </xf>
    <xf numFmtId="167" fontId="7" fillId="3" borderId="0" applyAlignment="1" pivotButton="0" quotePrefix="0" xfId="0">
      <alignment horizontal="right" vertical="top"/>
    </xf>
    <xf numFmtId="0" fontId="10" fillId="0" borderId="0" applyAlignment="1" pivotButton="0" quotePrefix="0" xfId="0">
      <alignment horizontal="left" vertical="top" wrapText="1"/>
    </xf>
    <xf numFmtId="0" fontId="11" fillId="0" borderId="2" applyAlignment="1" pivotButton="0" quotePrefix="0" xfId="0">
      <alignment horizontal="left" vertical="top"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Enterprise value comparison (USD millions)</a:t>
            </a:r>
          </a:p>
        </rich>
      </tx>
    </title>
    <plotArea>
      <barChart>
        <barDir val="col"/>
        <grouping val="clustered"/>
        <ser>
          <idx val="0"/>
          <order val="0"/>
          <spPr>
            <a:ln>
              <a:prstDash val="solid"/>
            </a:ln>
          </spPr>
          <cat>
            <numRef>
              <f>'Valuation'!$A$50:$A$53</f>
            </numRef>
          </cat>
          <val>
            <numRef>
              <f>'Valuation'!$B$50:$B$53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USD millions</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Deal Team Model</author>
  </authors>
  <commentList>
    <comment ref="B12" authorId="0" shapeId="0">
      <text>
        <t>Source: DealTeamResult.status</t>
      </text>
    </comment>
    <comment ref="B13" authorId="0" shapeId="0">
      <text>
        <t>Source: DealTeamResult.review_rounds_used</t>
      </text>
    </comment>
    <comment ref="A37" authorId="0" shapeId="0">
      <text>
        <t>Source: MemoResult.conclusion</t>
      </text>
    </comment>
    <comment ref="A40" authorId="0" shapeId="0">
      <text>
        <t>Source: final IC Partner review — unresolved_information_gaps</t>
      </text>
    </comment>
    <comment ref="A41" authorId="0" shapeId="0">
      <text>
        <t>Source: final IC Partner review — unresolved_information_gaps</t>
      </text>
    </comment>
    <comment ref="A42" authorId="0" shapeId="0">
      <text>
        <t>Source: final IC Partner review — unresolved_information_gaps</t>
      </text>
    </comment>
  </commentList>
</comments>
</file>

<file path=xl/comments/comment2.xml><?xml version="1.0" encoding="utf-8"?>
<comments xmlns="http://schemas.openxmlformats.org/spreadsheetml/2006/main">
  <authors>
    <author>Deal Team Model</author>
  </authors>
  <commentList>
    <comment ref="B7" authorId="0" shapeId="0">
      <text>
        <t>Source: Research deal setup (confirmed by the user)</t>
      </text>
    </comment>
    <comment ref="B8" authorId="0" shapeId="0">
      <text>
        <t>Source: Research deal setup (confirmed by the user)</t>
      </text>
    </comment>
    <comment ref="B9" authorId="0" shapeId="0">
      <text>
        <t>Source: Research deal setup (confirmed by the user)</t>
      </text>
    </comment>
    <comment ref="B12" authorId="0" shapeId="0">
      <text>
        <t>Source: SEC EDGAR — registrant name (CIK 0001467373)</t>
      </text>
    </comment>
    <comment ref="B13" authorId="0" shapeId="0">
      <text>
        <t>Source: SEC EDGAR — Accenture plc — Form 10-K — us-gaap:Revenues — 2024-09-01 to 2025-08-31 — document 0001467373-25-000217</t>
      </text>
    </comment>
    <comment ref="B14" authorId="0" shapeId="0">
      <text>
        <t>Source: SEC EDGAR — Accenture plc — Form 10-K — derived: EBITDA = operating income (us-gaap:OperatingIncomeLoss) + depreciation (us-gaap:Depreciation) + amortization (us-gaap:AmortizationOfIntangibleAssets), period 2024-09-01 to 2025-08-31</t>
      </text>
    </comment>
    <comment ref="B15" authorId="0" shapeId="0">
      <text>
        <t>Source: SEC EDGAR — Accenture plc — Form 10-K — us-gaap:NetIncomeLoss — 2024-09-01 to 2025-08-31 — document 0001467373-25-000217</t>
      </text>
    </comment>
    <comment ref="B16" authorId="0" shapeId="0">
      <text>
        <t>Source: SEC EDGAR — Accenture plc — Form 10-Q — us-gaap:CashAndCashEquivalentsAtCarryingValue — as of 2026-05-31 — document 0001467373-26-000032</t>
      </text>
    </comment>
    <comment ref="B17" authorId="0" shapeId="0">
      <text>
        <t>Source: User override of SEC EDGAR-researched value (original: reported value 1024.857); reason: SEC XBRL fact under the mapped debt concepts is stale (as of 2024-08-31). Replaced with SEC 10-Q filed 2026-06-18, as of 2026-05-31: us-gaap:LongTermDebtAndCapitalLeaseObligations (non-current) 5,029.449 + us-gaap:DebtCurrent 112.816 (USD millions).</t>
      </text>
    </comment>
    <comment ref="B18" authorId="0" shapeId="0">
      <text>
        <t>Source: User override of SEC EDGAR-researched value (original: reported value 637.016143); reason: Only SEC share-count fact is stale (dei cover page, 2010-03-19). Replaced with SEC 10-Q filed 2026-06-18: us-gaap:WeightedAverageNumberOfSharesOutstandingBasic, 2026-03-01 to 2026-05-31 (612,213,453 shares).</t>
      </text>
    </comment>
    <comment ref="B19" authorId="0" shapeId="0">
      <text>
        <t>Source: Alpha Vantage (third-party market data) — as of latest trading day 2026-09-28</t>
      </text>
    </comment>
    <comment ref="B22" authorId="0" shapeId="0">
      <text>
        <t>Source: SEC EDGAR — registrant name (CIK 0001352010)</t>
      </text>
    </comment>
    <comment ref="B23" authorId="0" shapeId="0">
      <text>
        <t>Source: SEC EDGAR — EPAM Systems, Inc. — Form 10-K — us-gaap:RevenueFromContractWithCustomerExcludingAssessedTax — 2025-01-01 to 2025-12-31 — document 0001352010-26-000015</t>
      </text>
    </comment>
    <comment ref="B24" authorId="0" shapeId="0">
      <text>
        <t>Source: SEC EDGAR — EPAM Systems, Inc. — Form 10-K — derived: EBITDA = operating income (us-gaap:OperatingIncomeLoss) + depreciation &amp; amortization (us-gaap:DepreciationAndAmortization), period 2025-01-01 to 2025-12-31</t>
      </text>
    </comment>
    <comment ref="B25" authorId="0" shapeId="0">
      <text>
        <t>Source: SEC EDGAR — EPAM Systems, Inc. — Form 10-K — us-gaap:NetIncomeLoss — 2025-01-01 to 2025-12-31 — document 0001352010-26-000015</t>
      </text>
    </comment>
    <comment ref="B26" authorId="0" shapeId="0">
      <text>
        <t>Source: SEC EDGAR — EPAM Systems, Inc. — Form 10-K — derived: Free cash flow = operating cash flow (us-gaap:NetCashProvidedByUsedInOperatingActivities) − capital expenditures (us-gaap:PaymentsToAcquirePropertyPlantAndEquipment), period 2025-01-01 to 2025-12-31</t>
      </text>
    </comment>
    <comment ref="B27" authorId="0" shapeId="0">
      <text>
        <t>Source: SEC EDGAR — EPAM Systems, Inc. — Form 10-Q — us-gaap:CashAndCashEquivalentsAtCarryingValue — as of 2026-06-30 — document 0001352010-26-000046</t>
      </text>
    </comment>
    <comment ref="B28" authorId="0" shapeId="0">
      <text>
        <t>Source: User override of SEC EDGAR-researched value (original: reported value 35.0); reason: SEC XBRL fact under the mapped debt concepts is stale (as of 2015-12-31). Replaced with SEC 10-Q filed 2026-08-06, as of 2026-06-30: us-gaap:LongTermDebtNoncurrent 25.0 (USD millions); no current debt reported.</t>
      </text>
    </comment>
    <comment ref="B31" authorId="0" shapeId="0">
      <text>
        <t>Source: User assumption (not researched)</t>
      </text>
    </comment>
    <comment ref="B32" authorId="0" shapeId="0">
      <text>
        <t>Source: User assumption (not researched)</t>
      </text>
    </comment>
    <comment ref="B35" authorId="0" shapeId="0">
      <text>
        <t>Source: User assumption (not researched)</t>
      </text>
    </comment>
    <comment ref="B36" authorId="0" shapeId="0">
      <text>
        <t>Source: User assumption (not researched)</t>
      </text>
    </comment>
    <comment ref="B37" authorId="0" shapeId="0">
      <text>
        <t>Source: User assumption (not researched)</t>
      </text>
    </comment>
    <comment ref="B38" authorId="0" shapeId="0">
      <text>
        <t>Source: User assumption (not researched)</t>
      </text>
    </comment>
    <comment ref="B41" authorId="0" shapeId="0">
      <text>
        <t>Source: User assumption (not researched)</t>
      </text>
    </comment>
    <comment ref="B42" authorId="0" shapeId="0">
      <text>
        <t>Source: User assumption (not researched)</t>
      </text>
    </comment>
    <comment ref="B43" authorId="0" shapeId="0">
      <text>
        <t>Source: User assumption (not researched)</t>
      </text>
    </comment>
    <comment ref="B44" authorId="0" shapeId="0">
      <text>
        <t>Source: User assumption (not researched)</t>
      </text>
    </comment>
    <comment ref="B45" authorId="0" shapeId="0">
      <text>
        <t>Source: User assumption (not researched)</t>
      </text>
    </comment>
    <comment ref="B46" authorId="0" shapeId="0">
      <text>
        <t>Source: User assumption (not researched)</t>
      </text>
    </comment>
    <comment ref="B49" authorId="0" shapeId="0">
      <text>
        <t>Source: User assumption (not researched)</t>
      </text>
    </comment>
    <comment ref="B50" authorId="0" shapeId="0">
      <text>
        <t>Source: User assumption (not researched)</t>
      </text>
    </comment>
    <comment ref="B51" authorId="0" shapeId="0">
      <text>
        <t>Source: User assumption (not researched)</t>
      </text>
    </comment>
    <comment ref="B52" authorId="0" shapeId="0">
      <text>
        <t>Source: User assumption (not researched)</t>
      </text>
    </comment>
    <comment ref="B53" authorId="0" shapeId="0">
      <text>
        <t>Source: User assumption (not researched)</t>
      </text>
    </comment>
  </commentList>
</comments>
</file>

<file path=xl/comments/comment3.xml><?xml version="1.0" encoding="utf-8"?>
<comments xmlns="http://schemas.openxmlformats.org/spreadsheetml/2006/main">
  <authors>
    <author>Deal Team Model</author>
  </authors>
  <commentList>
    <comment ref="C6" authorId="0" shapeId="0">
      <text>
        <t>Source: deterministic Python — valuation.py / deal_analysis.py</t>
      </text>
    </comment>
    <comment ref="C7" authorId="0" shapeId="0">
      <text>
        <t>Source: deterministic Python — valuation.py / deal_analysis.py</t>
      </text>
    </comment>
    <comment ref="C8" authorId="0" shapeId="0">
      <text>
        <t>Source: deterministic Python — valuation.py / deal_analysis.py</t>
      </text>
    </comment>
    <comment ref="C13" authorId="0" shapeId="0">
      <text>
        <t>Source: deterministic Python — valuation.py / deal_analysis.py</t>
      </text>
    </comment>
    <comment ref="A37" authorId="0" shapeId="0">
      <text>
        <t>Schedule period from deterministic Python (forecast_years)</t>
      </text>
    </comment>
  </commentList>
</comments>
</file>

<file path=xl/comments/comment4.xml><?xml version="1.0" encoding="utf-8"?>
<comments xmlns="http://schemas.openxmlformats.org/spreadsheetml/2006/main">
  <authors>
    <author>Deal Team Model</author>
  </authors>
  <commentList>
    <comment ref="C18" authorId="0" shapeId="0">
      <text>
        <t>Source: deterministic Python — valuation.py / deal_analysis.py</t>
      </text>
    </comment>
    <comment ref="A22" authorId="0" shapeId="0">
      <text>
        <t>Schedule period from deterministic Python (realization_years)</t>
      </text>
    </comment>
  </commentList>
</comments>
</file>

<file path=xl/comments/comment5.xml><?xml version="1.0" encoding="utf-8"?>
<comments xmlns="http://schemas.openxmlformats.org/spreadsheetml/2006/main">
  <authors>
    <author>Deal Team Model</author>
  </authors>
  <commentList>
    <comment ref="B8" authorId="0" shapeId="0">
      <text>
        <t>Case definition: synergies excluded</t>
      </text>
    </comment>
  </commentList>
</comments>
</file>

<file path=xl/comments/comment6.xml><?xml version="1.0" encoding="utf-8"?>
<comments xmlns="http://schemas.openxmlformats.org/spreadsheetml/2006/main">
  <authors>
    <author>Deal Team Model</author>
  </authors>
  <commentList>
    <comment ref="A6" authorId="0" shapeId="0">
      <text>
        <t>Source: final reviewed output — Financial Due Diligence</t>
      </text>
    </comment>
    <comment ref="A59" authorId="0" shapeId="0">
      <text>
        <t>Source: final reviewed output — Commercial Due Diligence</t>
      </text>
    </comment>
    <comment ref="A106" authorId="0" shapeId="0">
      <text>
        <t>Source: final reviewed output — Legal &amp; Operational Due Diligence</t>
      </text>
    </comment>
  </commentList>
</comments>
</file>

<file path=xl/comments/comment7.xml><?xml version="1.0" encoding="utf-8"?>
<comments xmlns="http://schemas.openxmlformats.org/spreadsheetml/2006/main">
  <authors>
    <author>Deal Team Model</author>
  </authors>
  <commentList>
    <comment ref="A6" authorId="0" shapeId="0">
      <text>
        <t>Source: final reviewed output — Risk Analyst</t>
      </text>
    </comment>
    <comment ref="A54" authorId="0" shapeId="0">
      <text>
        <t>Source: final IC Partner review</t>
      </text>
    </comment>
  </commentList>
</comments>
</file>

<file path=xl/comments/comment8.xml><?xml version="1.0" encoding="utf-8"?>
<comments xmlns="http://schemas.openxmlformats.org/spreadsheetml/2006/main">
  <authors>
    <author>Deal Team Model</author>
  </authors>
  <commentList>
    <comment ref="A5" authorId="0" shapeId="0">
      <text>
        <t>Source: MemoResult.conclusion</t>
      </text>
    </comment>
    <comment ref="A7" authorId="0" shapeId="0">
      <text>
        <t>Source: final IC memo (MemoResult.memo_text)</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outlinePr summaryBelow="1" summaryRight="1"/>
    <pageSetUpPr fitToPage="1"/>
  </sheetPr>
  <dimension ref="A1:C42"/>
  <sheetViews>
    <sheetView showGridLines="0" workbookViewId="0">
      <pane ySplit="3" topLeftCell="A4" activePane="bottomLeft" state="frozen"/>
      <selection pane="bottomLeft" activeCell="A1" sqref="A1"/>
    </sheetView>
  </sheetViews>
  <sheetFormatPr baseColWidth="8" defaultRowHeight="15"/>
  <cols>
    <col width="44" customWidth="1" min="1" max="1"/>
    <col width="22" customWidth="1" min="2" max="2"/>
    <col width="56" customWidth="1" min="3" max="3"/>
  </cols>
  <sheetData>
    <row r="1">
      <c r="A1" s="1" t="inlineStr">
        <is>
          <t>Investment Committee Summary</t>
        </is>
      </c>
    </row>
    <row r="2">
      <c r="A2" s="2" t="inlineStr">
        <is>
          <t>Generated from deterministic Python calculations and final reviewed AI analyses.</t>
        </is>
      </c>
    </row>
    <row r="3"/>
    <row r="4">
      <c r="A4" s="3" t="inlineStr">
        <is>
          <t>TRANSACTION</t>
        </is>
      </c>
      <c r="B4" s="3" t="n"/>
      <c r="C4" s="3" t="n"/>
    </row>
    <row r="5">
      <c r="A5" s="4" t="inlineStr">
        <is>
          <t>Deal</t>
        </is>
      </c>
      <c r="B5" s="5">
        <f>'Assumptions'!$B$7</f>
        <v/>
      </c>
    </row>
    <row r="6">
      <c r="A6" s="4" t="inlineStr">
        <is>
          <t>Acquirer</t>
        </is>
      </c>
      <c r="B6" s="5">
        <f>'Assumptions'!$B$12</f>
        <v/>
      </c>
    </row>
    <row r="7">
      <c r="A7" s="4" t="inlineStr">
        <is>
          <t>Target</t>
        </is>
      </c>
      <c r="B7" s="5">
        <f>'Assumptions'!$B$22</f>
        <v/>
      </c>
    </row>
    <row r="8">
      <c r="A8" s="4" t="inlineStr">
        <is>
          <t>Offer enterprise value (USD millions)</t>
        </is>
      </c>
      <c r="B8" s="6">
        <f>'Assumptions'!$B$49</f>
        <v/>
      </c>
    </row>
    <row r="9">
      <c r="A9" s="4" t="inlineStr">
        <is>
          <t>Offer equity value (USD millions)</t>
        </is>
      </c>
      <c r="B9" s="6">
        <f>'Transaction Structure'!$B$9</f>
        <v/>
      </c>
    </row>
    <row r="10">
      <c r="A10" s="4" t="inlineStr">
        <is>
          <t>Cash %</t>
        </is>
      </c>
      <c r="B10" s="7">
        <f>'Transaction Structure'!$B$12</f>
        <v/>
      </c>
    </row>
    <row r="11">
      <c r="A11" s="4" t="inlineStr">
        <is>
          <t>Stock %</t>
        </is>
      </c>
      <c r="B11" s="7">
        <f>'Transaction Structure'!$B$13</f>
        <v/>
      </c>
    </row>
    <row r="12">
      <c r="A12" s="4" t="inlineStr">
        <is>
          <t>IC review status</t>
        </is>
      </c>
      <c r="B12" s="8" t="inlineStr">
        <is>
          <t>approved</t>
        </is>
      </c>
    </row>
    <row r="13">
      <c r="A13" s="4" t="inlineStr">
        <is>
          <t>Review rounds used</t>
        </is>
      </c>
      <c r="B13" s="9" t="n">
        <v>1</v>
      </c>
    </row>
    <row r="14"/>
    <row r="15">
      <c r="A15" s="3" t="inlineStr">
        <is>
          <t>VALUATION SNAPSHOT (USD millions, enterprise value)</t>
        </is>
      </c>
      <c r="B15" s="3" t="n"/>
      <c r="C15" s="3" t="n"/>
    </row>
    <row r="16">
      <c r="A16" s="4" t="inlineStr">
        <is>
          <t>Comparable Companies EV</t>
        </is>
      </c>
      <c r="B16" s="6">
        <f>'Valuation'!$B$22</f>
        <v/>
      </c>
    </row>
    <row r="17">
      <c r="A17" s="4" t="inlineStr">
        <is>
          <t>Precedent Transactions EV</t>
        </is>
      </c>
      <c r="B17" s="6">
        <f>'Valuation'!$B$27</f>
        <v/>
      </c>
    </row>
    <row r="18">
      <c r="A18" s="4" t="inlineStr">
        <is>
          <t>DCF EV</t>
        </is>
      </c>
      <c r="B18" s="6">
        <f>'Valuation'!$B$46</f>
        <v/>
      </c>
    </row>
    <row r="19">
      <c r="A19" s="4" t="inlineStr">
        <is>
          <t>Valuation low</t>
        </is>
      </c>
      <c r="B19" s="6">
        <f>'Valuation'!$B$9</f>
        <v/>
      </c>
    </row>
    <row r="20">
      <c r="A20" s="4" t="inlineStr">
        <is>
          <t>Valuation high</t>
        </is>
      </c>
      <c r="B20" s="6">
        <f>'Valuation'!$B$10</f>
        <v/>
      </c>
    </row>
    <row r="21">
      <c r="A21" s="4" t="inlineStr">
        <is>
          <t>Offer EV</t>
        </is>
      </c>
      <c r="B21" s="6">
        <f>'Valuation'!$B$13</f>
        <v/>
      </c>
    </row>
    <row r="22"/>
    <row r="23">
      <c r="A23" s="3" t="inlineStr">
        <is>
          <t>SYNERGY SNAPSHOT (USD millions)</t>
        </is>
      </c>
      <c r="B23" s="3" t="n"/>
      <c r="C23" s="3" t="n"/>
    </row>
    <row r="24">
      <c r="A24" s="4" t="inlineStr">
        <is>
          <t>PV of synergies</t>
        </is>
      </c>
      <c r="B24" s="6">
        <f>'Synergies'!$B$16</f>
        <v/>
      </c>
    </row>
    <row r="25">
      <c r="A25" s="4" t="inlineStr">
        <is>
          <t>Integration cost</t>
        </is>
      </c>
      <c r="B25" s="6">
        <f>'Synergies'!$B$17</f>
        <v/>
      </c>
    </row>
    <row r="26">
      <c r="A26" s="4" t="inlineStr">
        <is>
          <t>Net synergy value</t>
        </is>
      </c>
      <c r="B26" s="6">
        <f>'Synergies'!$B$18</f>
        <v/>
      </c>
      <c r="C26" s="10" t="inlineStr">
        <is>
          <t>Based on unvalidated synergy assumptions.</t>
        </is>
      </c>
    </row>
    <row r="27"/>
    <row r="28">
      <c r="A28" s="3" t="inlineStr">
        <is>
          <t>TRANSACTION SNAPSHOT</t>
        </is>
      </c>
      <c r="B28" s="3" t="n"/>
      <c r="C28" s="3" t="n"/>
    </row>
    <row r="29">
      <c r="A29" s="4" t="inlineStr">
        <is>
          <t>Cash consideration (USD millions)</t>
        </is>
      </c>
      <c r="B29" s="6">
        <f>'Transaction Structure'!$B$14</f>
        <v/>
      </c>
      <c r="C29" s="10" t="inlineStr">
        <is>
          <t>Debt funded under the model convention; not a confirmed plan.</t>
        </is>
      </c>
    </row>
    <row r="30">
      <c r="A30" s="4" t="inlineStr">
        <is>
          <t>Stock consideration (USD millions)</t>
        </is>
      </c>
      <c r="B30" s="6">
        <f>'Transaction Structure'!$B$15</f>
        <v/>
      </c>
    </row>
    <row r="31">
      <c r="A31" s="4" t="inlineStr">
        <is>
          <t>New shares issued (millions)</t>
        </is>
      </c>
      <c r="B31" s="11">
        <f>'Transaction Structure'!$B$30</f>
        <v/>
      </c>
    </row>
    <row r="32">
      <c r="A32" s="4" t="inlineStr">
        <is>
          <t>Seller ownership</t>
        </is>
      </c>
      <c r="B32" s="12">
        <f>'Transaction Structure'!$B$32</f>
        <v/>
      </c>
    </row>
    <row r="33">
      <c r="A33" s="4" t="inlineStr">
        <is>
          <t>EPS result — excluding synergies</t>
        </is>
      </c>
      <c r="B33" s="5">
        <f>'Accretion Dilution'!$B$17</f>
        <v/>
      </c>
    </row>
    <row r="34">
      <c r="A34" s="4" t="inlineStr">
        <is>
          <t>EPS result — including run-rate synergies</t>
        </is>
      </c>
      <c r="B34" s="5">
        <f>'Accretion Dilution'!$B$33</f>
        <v/>
      </c>
      <c r="C34" s="10" t="inlineStr">
        <is>
          <t>Model scenario only; not the expected outcome.</t>
        </is>
      </c>
    </row>
    <row r="35"/>
    <row r="36">
      <c r="A36" s="3" t="inlineStr">
        <is>
          <t>IC CONCLUSION</t>
        </is>
      </c>
      <c r="B36" s="3" t="n"/>
      <c r="C36" s="3" t="n"/>
    </row>
    <row r="37">
      <c r="A37" s="13" t="inlineStr">
        <is>
          <t>Decision deferred pending additional information</t>
        </is>
      </c>
    </row>
    <row r="38"/>
    <row r="39">
      <c r="A39" s="3" t="inlineStr">
        <is>
          <t>KEY UNRESOLVED ITEMS (FINAL IC REVIEW)</t>
        </is>
      </c>
      <c r="B39" s="3" t="n"/>
      <c r="C39" s="3" t="n"/>
    </row>
    <row r="40" ht="27" customHeight="1">
      <c r="A40" s="14" t="inlineStr">
        <is>
          <t>• Absence of multi-period historical financial statements for both acquirer and target.</t>
        </is>
      </c>
    </row>
    <row r="41" ht="40.5" customHeight="1">
      <c r="A41" s="14" t="inlineStr">
        <is>
          <t>• Absence of qualitative product, technology, capability, customer, and market-share information in DEAL DATA.</t>
        </is>
      </c>
    </row>
    <row r="42" ht="27" customHeight="1">
      <c r="A42" s="14" t="inlineStr">
        <is>
          <t>• Absence of definitive debt financing agreements and formal lender commitments.</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C53"/>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62" customWidth="1" min="3" max="3"/>
  </cols>
  <sheetData>
    <row r="1">
      <c r="A1" s="1" t="inlineStr">
        <is>
          <t>Assumptions — Deal Inputs</t>
        </is>
      </c>
    </row>
    <row r="2">
      <c r="A2" s="2" t="inlineStr">
        <is>
          <t>Generated from deterministic Python calculations and final reviewed AI analyses.</t>
        </is>
      </c>
    </row>
    <row r="3"/>
    <row r="4" ht="40.5" customHeight="1">
      <c r="A4" s="10" t="inlineStr">
        <is>
          <t>Blue font = supplied input. Yellow fill = unverified assumption requiring validation. All monetary values in USD millions.</t>
        </is>
      </c>
    </row>
    <row r="5"/>
    <row r="6">
      <c r="A6" s="3" t="inlineStr">
        <is>
          <t>DEAL OVERVIEW</t>
        </is>
      </c>
      <c r="B6" s="3" t="n"/>
      <c r="C6" s="3" t="n"/>
    </row>
    <row r="7">
      <c r="A7" s="4" t="inlineStr">
        <is>
          <t>Deal name</t>
        </is>
      </c>
      <c r="B7" s="15" t="inlineStr">
        <is>
          <t>Hypothetical: Accenture plc acquiring EPAM Systems, Inc.</t>
        </is>
      </c>
    </row>
    <row r="8">
      <c r="A8" s="4" t="inlineStr">
        <is>
          <t>Currency</t>
        </is>
      </c>
      <c r="B8" s="15" t="inlineStr">
        <is>
          <t>USD</t>
        </is>
      </c>
    </row>
    <row r="9">
      <c r="A9" s="4" t="inlineStr">
        <is>
          <t>Units</t>
        </is>
      </c>
      <c r="B9" s="15" t="inlineStr">
        <is>
          <t>millions</t>
        </is>
      </c>
    </row>
    <row r="10"/>
    <row r="11">
      <c r="A11" s="3" t="inlineStr">
        <is>
          <t>ACQUIRER FINANCIALS</t>
        </is>
      </c>
      <c r="B11" s="3" t="n"/>
      <c r="C11" s="3" t="n"/>
    </row>
    <row r="12">
      <c r="A12" s="4" t="inlineStr">
        <is>
          <t>Acquirer</t>
        </is>
      </c>
      <c r="B12" s="15" t="inlineStr">
        <is>
          <t>Accenture plc</t>
        </is>
      </c>
    </row>
    <row r="13">
      <c r="A13" s="4" t="inlineStr">
        <is>
          <t>Revenue (USD millions)</t>
        </is>
      </c>
      <c r="B13" s="16" t="n">
        <v>69672.977</v>
      </c>
    </row>
    <row r="14">
      <c r="A14" s="4" t="inlineStr">
        <is>
          <t>EBITDA (USD millions)</t>
        </is>
      </c>
      <c r="B14" s="16" t="n">
        <v>11594.049</v>
      </c>
    </row>
    <row r="15">
      <c r="A15" s="4" t="inlineStr">
        <is>
          <t>Net income (USD millions)</t>
        </is>
      </c>
      <c r="B15" s="16" t="n">
        <v>7678.433</v>
      </c>
    </row>
    <row r="16">
      <c r="A16" s="4" t="inlineStr">
        <is>
          <t>Cash (USD millions)</t>
        </is>
      </c>
      <c r="B16" s="16" t="n">
        <v>10165.245</v>
      </c>
    </row>
    <row r="17">
      <c r="A17" s="4" t="inlineStr">
        <is>
          <t>Debt (USD millions)</t>
        </is>
      </c>
      <c r="B17" s="16" t="n">
        <v>5142.265</v>
      </c>
    </row>
    <row r="18">
      <c r="A18" s="4" t="inlineStr">
        <is>
          <t>Shares outstanding (millions)</t>
        </is>
      </c>
      <c r="B18" s="17" t="n">
        <v>612.213453</v>
      </c>
    </row>
    <row r="19">
      <c r="A19" s="4" t="inlineStr">
        <is>
          <t>Share price (USD per share)</t>
        </is>
      </c>
      <c r="B19" s="17" t="n">
        <v>174.47</v>
      </c>
    </row>
    <row r="20"/>
    <row r="21">
      <c r="A21" s="3" t="inlineStr">
        <is>
          <t>TARGET FINANCIALS</t>
        </is>
      </c>
      <c r="B21" s="3" t="n"/>
      <c r="C21" s="3" t="n"/>
    </row>
    <row r="22">
      <c r="A22" s="4" t="inlineStr">
        <is>
          <t>Target</t>
        </is>
      </c>
      <c r="B22" s="15" t="inlineStr">
        <is>
          <t>EPAM Systems, Inc.</t>
        </is>
      </c>
    </row>
    <row r="23">
      <c r="A23" s="4" t="inlineStr">
        <is>
          <t>Revenue (USD millions)</t>
        </is>
      </c>
      <c r="B23" s="16" t="n">
        <v>5457.056</v>
      </c>
    </row>
    <row r="24">
      <c r="A24" s="4" t="inlineStr">
        <is>
          <t>EBITDA (USD millions)</t>
        </is>
      </c>
      <c r="B24" s="16" t="n">
        <v>644.814</v>
      </c>
    </row>
    <row r="25">
      <c r="A25" s="4" t="inlineStr">
        <is>
          <t>Net income (USD millions)</t>
        </is>
      </c>
      <c r="B25" s="16" t="n">
        <v>377.678</v>
      </c>
    </row>
    <row r="26">
      <c r="A26" s="4" t="inlineStr">
        <is>
          <t>Free cash flow (USD millions)</t>
        </is>
      </c>
      <c r="B26" s="16" t="n">
        <v>612.691</v>
      </c>
    </row>
    <row r="27">
      <c r="A27" s="4" t="inlineStr">
        <is>
          <t>Cash (USD millions)</t>
        </is>
      </c>
      <c r="B27" s="16" t="n">
        <v>789.397</v>
      </c>
    </row>
    <row r="28">
      <c r="A28" s="4" t="inlineStr">
        <is>
          <t>Debt (USD millions)</t>
        </is>
      </c>
      <c r="B28" s="16" t="n">
        <v>25</v>
      </c>
    </row>
    <row r="29"/>
    <row r="30">
      <c r="A30" s="3" t="inlineStr">
        <is>
          <t>MARKET VALUATION INPUTS</t>
        </is>
      </c>
      <c r="B30" s="3" t="n"/>
      <c r="C30" s="3" t="n"/>
    </row>
    <row r="31">
      <c r="A31" s="4" t="inlineStr">
        <is>
          <t>Comparable EV / EBITDA (x)</t>
        </is>
      </c>
      <c r="B31" s="18" t="n">
        <v>8.199999999999999</v>
      </c>
    </row>
    <row r="32">
      <c r="A32" s="4" t="inlineStr">
        <is>
          <t>Precedent EV / EBITDA (x)</t>
        </is>
      </c>
      <c r="B32" s="18" t="n">
        <v>12.3</v>
      </c>
    </row>
    <row r="33"/>
    <row r="34">
      <c r="A34" s="3" t="inlineStr">
        <is>
          <t>DCF ASSUMPTIONS</t>
        </is>
      </c>
      <c r="B34" s="3" t="n"/>
      <c r="C34" s="3" t="n"/>
    </row>
    <row r="35">
      <c r="A35" s="4" t="inlineStr">
        <is>
          <t>Forecast years</t>
        </is>
      </c>
      <c r="B35" s="19" t="n">
        <v>5</v>
      </c>
    </row>
    <row r="36">
      <c r="A36" s="4" t="inlineStr">
        <is>
          <t>FCF growth rate</t>
        </is>
      </c>
      <c r="B36" s="20" t="n">
        <v>0.08</v>
      </c>
    </row>
    <row r="37">
      <c r="A37" s="4" t="inlineStr">
        <is>
          <t>WACC</t>
        </is>
      </c>
      <c r="B37" s="20" t="n">
        <v>0.105</v>
      </c>
    </row>
    <row r="38">
      <c r="A38" s="4" t="inlineStr">
        <is>
          <t>Terminal growth rate</t>
        </is>
      </c>
      <c r="B38" s="20" t="n">
        <v>0.025</v>
      </c>
    </row>
    <row r="39"/>
    <row r="40">
      <c r="A40" s="3" t="inlineStr">
        <is>
          <t>SYNERGY ASSUMPTIONS (UNVALIDATED)</t>
        </is>
      </c>
      <c r="B40" s="3" t="n"/>
      <c r="C40" s="3" t="n"/>
    </row>
    <row r="41">
      <c r="A41" s="4" t="inlineStr">
        <is>
          <t>Annual cost synergy (USD millions)</t>
        </is>
      </c>
      <c r="B41" s="21" t="n">
        <v>250</v>
      </c>
    </row>
    <row r="42">
      <c r="A42" s="4" t="inlineStr">
        <is>
          <t>Annual revenue synergy EBITDA (USD millions)</t>
        </is>
      </c>
      <c r="B42" s="21" t="n">
        <v>75</v>
      </c>
    </row>
    <row r="43">
      <c r="A43" s="4" t="inlineStr">
        <is>
          <t>Realization years</t>
        </is>
      </c>
      <c r="B43" s="22" t="n">
        <v>5</v>
      </c>
    </row>
    <row r="44">
      <c r="A44" s="4" t="inlineStr">
        <is>
          <t>Synergy tax rate</t>
        </is>
      </c>
      <c r="B44" s="20" t="n">
        <v>0.253</v>
      </c>
    </row>
    <row r="45">
      <c r="A45" s="4" t="inlineStr">
        <is>
          <t>Synergy discount rate</t>
        </is>
      </c>
      <c r="B45" s="20" t="n">
        <v>0.105</v>
      </c>
    </row>
    <row r="46">
      <c r="A46" s="4" t="inlineStr">
        <is>
          <t>Integration cost (USD millions)</t>
        </is>
      </c>
      <c r="B46" s="21" t="n">
        <v>300</v>
      </c>
    </row>
    <row r="47"/>
    <row r="48">
      <c r="A48" s="3" t="inlineStr">
        <is>
          <t>TRANSACTION ASSUMPTIONS</t>
        </is>
      </c>
      <c r="B48" s="3" t="n"/>
      <c r="C48" s="3" t="n"/>
    </row>
    <row r="49">
      <c r="A49" s="4" t="inlineStr">
        <is>
          <t>Offer enterprise value (USD millions)</t>
        </is>
      </c>
      <c r="B49" s="16" t="n">
        <v>6300</v>
      </c>
    </row>
    <row r="50">
      <c r="A50" s="4" t="inlineStr">
        <is>
          <t>Cash percentage</t>
        </is>
      </c>
      <c r="B50" s="23" t="n">
        <v>0.7</v>
      </c>
    </row>
    <row r="51">
      <c r="A51" s="4" t="inlineStr">
        <is>
          <t>Stock percentage</t>
        </is>
      </c>
      <c r="B51" s="23" t="n">
        <v>0.3</v>
      </c>
    </row>
    <row r="52">
      <c r="A52" s="4" t="inlineStr">
        <is>
          <t>New debt interest rate</t>
        </is>
      </c>
      <c r="B52" s="20" t="n">
        <v>0.055</v>
      </c>
      <c r="C52" s="10" t="inlineStr">
        <is>
          <t>Financing modelling convention input; not a confirmed financing term.</t>
        </is>
      </c>
    </row>
    <row r="53">
      <c r="A53" s="4" t="inlineStr">
        <is>
          <t>Transaction tax rate</t>
        </is>
      </c>
      <c r="B53" s="23" t="n">
        <v>0.253</v>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D53"/>
  <sheetViews>
    <sheetView showGridLines="0" workbookViewId="0">
      <pane ySplit="3" topLeftCell="A4"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 width="34" customWidth="1" min="5" max="5"/>
    <col width="16" customWidth="1" min="6" max="6"/>
  </cols>
  <sheetData>
    <row r="1">
      <c r="A1" s="1" t="inlineStr">
        <is>
          <t>Valuation Analysis</t>
        </is>
      </c>
    </row>
    <row r="2">
      <c r="A2" s="2" t="inlineStr">
        <is>
          <t>Generated from deterministic Python calculations and final reviewed AI analyses.</t>
        </is>
      </c>
    </row>
    <row r="3"/>
    <row r="4">
      <c r="A4" s="3" t="inlineStr">
        <is>
          <t>VALUATION SUMMARY</t>
        </is>
      </c>
      <c r="B4" s="3" t="n"/>
      <c r="C4" s="3" t="n"/>
    </row>
    <row r="5">
      <c r="A5" s="24" t="inlineStr">
        <is>
          <t>Method</t>
        </is>
      </c>
      <c r="B5" s="25" t="inlineStr">
        <is>
          <t>Enterprise value (USD millions)</t>
        </is>
      </c>
      <c r="C5" s="25" t="inlineStr">
        <is>
          <t>Offer EV vs method</t>
        </is>
      </c>
    </row>
    <row r="6">
      <c r="A6" s="4" t="inlineStr">
        <is>
          <t>Comparable Companies</t>
        </is>
      </c>
      <c r="B6" s="26">
        <f>$B$22</f>
        <v/>
      </c>
      <c r="C6" s="8" t="inlineStr">
        <is>
          <t>above</t>
        </is>
      </c>
    </row>
    <row r="7">
      <c r="A7" s="4" t="inlineStr">
        <is>
          <t>Precedent Transactions</t>
        </is>
      </c>
      <c r="B7" s="26">
        <f>$B$27</f>
        <v/>
      </c>
      <c r="C7" s="8" t="inlineStr">
        <is>
          <t>below</t>
        </is>
      </c>
    </row>
    <row r="8">
      <c r="A8" s="4" t="inlineStr">
        <is>
          <t>Discounted Cash Flow</t>
        </is>
      </c>
      <c r="B8" s="26">
        <f>$B$46</f>
        <v/>
      </c>
      <c r="C8" s="8" t="inlineStr">
        <is>
          <t>below</t>
        </is>
      </c>
    </row>
    <row r="9">
      <c r="A9" s="4" t="inlineStr">
        <is>
          <t>Low</t>
        </is>
      </c>
      <c r="B9" s="26">
        <f>MIN(B6:B8)</f>
        <v/>
      </c>
    </row>
    <row r="10">
      <c r="A10" s="4" t="inlineStr">
        <is>
          <t>High</t>
        </is>
      </c>
      <c r="B10" s="26">
        <f>MAX(B6:B8)</f>
        <v/>
      </c>
    </row>
    <row r="11">
      <c r="A11" s="4" t="inlineStr">
        <is>
          <t>Midpoint</t>
        </is>
      </c>
      <c r="B11" s="26">
        <f>(B9+B10)/2</f>
        <v/>
      </c>
    </row>
    <row r="12">
      <c r="A12" s="4" t="inlineStr">
        <is>
          <t>Average</t>
        </is>
      </c>
      <c r="B12" s="26">
        <f>AVERAGE(B6:B8)</f>
        <v/>
      </c>
    </row>
    <row r="13">
      <c r="A13" s="4" t="inlineStr">
        <is>
          <t>Offer Enterprise Value</t>
        </is>
      </c>
      <c r="B13" s="27">
        <f>'Assumptions'!$B$49</f>
        <v/>
      </c>
      <c r="C13" s="8" t="inlineStr">
        <is>
          <t>Offer vs range: within</t>
        </is>
      </c>
    </row>
    <row r="14" ht="54" customHeight="1">
      <c r="A14" s="10" t="inlineStr">
        <is>
          <t>Low method: Comparable Companies; high method: Discounted Cash Flow. Relationship labels are deterministic Python outputs; no premium or discount is calculated.</t>
        </is>
      </c>
    </row>
    <row r="15"/>
    <row r="16"/>
    <row r="17"/>
    <row r="18"/>
    <row r="19">
      <c r="A19" s="3" t="inlineStr">
        <is>
          <t>COMPARABLE COMPANIES</t>
        </is>
      </c>
      <c r="B19" s="3" t="n"/>
      <c r="C19" s="3" t="n"/>
      <c r="D19" s="3" t="n"/>
    </row>
    <row r="20">
      <c r="A20" s="4" t="inlineStr">
        <is>
          <t>Target EBITDA (USD millions)</t>
        </is>
      </c>
      <c r="B20" s="6">
        <f>'Assumptions'!$B$24</f>
        <v/>
      </c>
    </row>
    <row r="21">
      <c r="A21" s="4" t="inlineStr">
        <is>
          <t>Comparable EV / EBITDA (x)</t>
        </is>
      </c>
      <c r="B21" s="28">
        <f>'Assumptions'!$B$31</f>
        <v/>
      </c>
    </row>
    <row r="22">
      <c r="A22" s="4" t="inlineStr">
        <is>
          <t>Implied Enterprise value (USD millions)</t>
        </is>
      </c>
      <c r="B22" s="26">
        <f>B20*B21</f>
        <v/>
      </c>
    </row>
    <row r="23"/>
    <row r="24">
      <c r="A24" s="3" t="inlineStr">
        <is>
          <t>PRECEDENT TRANSACTIONS</t>
        </is>
      </c>
      <c r="B24" s="3" t="n"/>
      <c r="C24" s="3" t="n"/>
      <c r="D24" s="3" t="n"/>
    </row>
    <row r="25">
      <c r="A25" s="4" t="inlineStr">
        <is>
          <t>Target EBITDA (USD millions)</t>
        </is>
      </c>
      <c r="B25" s="6">
        <f>'Assumptions'!$B$24</f>
        <v/>
      </c>
    </row>
    <row r="26">
      <c r="A26" s="4" t="inlineStr">
        <is>
          <t>Precedent EV / EBITDA (x)</t>
        </is>
      </c>
      <c r="B26" s="28">
        <f>'Assumptions'!$B$32</f>
        <v/>
      </c>
    </row>
    <row r="27">
      <c r="A27" s="4" t="inlineStr">
        <is>
          <t>Implied Enterprise value (USD millions)</t>
        </is>
      </c>
      <c r="B27" s="26">
        <f>B25*B26</f>
        <v/>
      </c>
    </row>
    <row r="28"/>
    <row r="29">
      <c r="A29" s="3" t="inlineStr">
        <is>
          <t>DISCOUNTED CASH FLOW</t>
        </is>
      </c>
      <c r="B29" s="3" t="n"/>
      <c r="C29" s="3" t="n"/>
      <c r="D29" s="3" t="n"/>
    </row>
    <row r="30">
      <c r="A30" s="4" t="inlineStr">
        <is>
          <t>Base free cash flow (USD millions)</t>
        </is>
      </c>
      <c r="B30" s="6">
        <f>'Assumptions'!$B$26</f>
        <v/>
      </c>
    </row>
    <row r="31">
      <c r="A31" s="4" t="inlineStr">
        <is>
          <t>FCF growth rate</t>
        </is>
      </c>
      <c r="B31" s="7">
        <f>'Assumptions'!$B$36</f>
        <v/>
      </c>
    </row>
    <row r="32">
      <c r="A32" s="4" t="inlineStr">
        <is>
          <t>WACC</t>
        </is>
      </c>
      <c r="B32" s="7">
        <f>'Assumptions'!$B$37</f>
        <v/>
      </c>
    </row>
    <row r="33">
      <c r="A33" s="4" t="inlineStr">
        <is>
          <t>Terminal growth rate</t>
        </is>
      </c>
      <c r="B33" s="7">
        <f>'Assumptions'!$B$38</f>
        <v/>
      </c>
    </row>
    <row r="34">
      <c r="A34" s="4" t="inlineStr">
        <is>
          <t>Forecast years</t>
        </is>
      </c>
      <c r="B34" s="29">
        <f>'Assumptions'!$B$35</f>
        <v/>
      </c>
    </row>
    <row r="35"/>
    <row r="36">
      <c r="A36" s="24" t="inlineStr">
        <is>
          <t>Year</t>
        </is>
      </c>
      <c r="B36" s="25" t="inlineStr">
        <is>
          <t>FCF (USD millions)</t>
        </is>
      </c>
      <c r="C36" s="25" t="inlineStr">
        <is>
          <t>Discount factor</t>
        </is>
      </c>
      <c r="D36" s="25" t="inlineStr">
        <is>
          <t>Discounted FCF (USD millions)</t>
        </is>
      </c>
    </row>
    <row r="37">
      <c r="A37" s="30" t="n">
        <v>1</v>
      </c>
      <c r="B37" s="31">
        <f>B30*(1+B31)^A37</f>
        <v/>
      </c>
      <c r="C37" s="32">
        <f>1/(1+B32)^A37</f>
        <v/>
      </c>
      <c r="D37" s="31">
        <f>B37*C37</f>
        <v/>
      </c>
    </row>
    <row r="38">
      <c r="A38" s="30" t="n">
        <v>2</v>
      </c>
      <c r="B38" s="31">
        <f>B30*(1+B31)^A38</f>
        <v/>
      </c>
      <c r="C38" s="32">
        <f>1/(1+B32)^A38</f>
        <v/>
      </c>
      <c r="D38" s="31">
        <f>B38*C38</f>
        <v/>
      </c>
    </row>
    <row r="39">
      <c r="A39" s="30" t="n">
        <v>3</v>
      </c>
      <c r="B39" s="31">
        <f>B30*(1+B31)^A39</f>
        <v/>
      </c>
      <c r="C39" s="32">
        <f>1/(1+B32)^A39</f>
        <v/>
      </c>
      <c r="D39" s="31">
        <f>B39*C39</f>
        <v/>
      </c>
    </row>
    <row r="40">
      <c r="A40" s="30" t="n">
        <v>4</v>
      </c>
      <c r="B40" s="31">
        <f>B30*(1+B31)^A40</f>
        <v/>
      </c>
      <c r="C40" s="32">
        <f>1/(1+B32)^A40</f>
        <v/>
      </c>
      <c r="D40" s="31">
        <f>B40*C40</f>
        <v/>
      </c>
    </row>
    <row r="41">
      <c r="A41" s="30" t="n">
        <v>5</v>
      </c>
      <c r="B41" s="31">
        <f>B30*(1+B31)^A41</f>
        <v/>
      </c>
      <c r="C41" s="32">
        <f>1/(1+B32)^A41</f>
        <v/>
      </c>
      <c r="D41" s="31">
        <f>B41*C41</f>
        <v/>
      </c>
    </row>
    <row r="42"/>
    <row r="43">
      <c r="A43" s="4" t="inlineStr">
        <is>
          <t>PV of forecast FCF (USD millions)</t>
        </is>
      </c>
      <c r="B43" s="31">
        <f>SUM(D37:D41)</f>
        <v/>
      </c>
    </row>
    <row r="44">
      <c r="A44" s="4" t="inlineStr">
        <is>
          <t>Terminal value (USD millions)</t>
        </is>
      </c>
      <c r="B44" s="31">
        <f>B41*(1+B33)/(B32-B33)</f>
        <v/>
      </c>
    </row>
    <row r="45">
      <c r="A45" s="4" t="inlineStr">
        <is>
          <t>Discounted terminal value (USD millions)</t>
        </is>
      </c>
      <c r="B45" s="31">
        <f>B44*C41</f>
        <v/>
      </c>
    </row>
    <row r="46">
      <c r="A46" s="4" t="inlineStr">
        <is>
          <t>DCF Enterprise value (USD millions)</t>
        </is>
      </c>
      <c r="B46" s="33">
        <f>B43+B45</f>
        <v/>
      </c>
    </row>
    <row r="47">
      <c r="A47" s="4" t="inlineStr">
        <is>
          <t>Terminal value share of EV</t>
        </is>
      </c>
      <c r="B47" s="34">
        <f>B45/B46</f>
        <v/>
      </c>
    </row>
    <row r="48"/>
    <row r="49">
      <c r="A49" s="3" t="inlineStr">
        <is>
          <t>CHART DATA — ENTERPRISE VALUE COMPARISON</t>
        </is>
      </c>
      <c r="B49" s="3" t="n"/>
    </row>
    <row r="50">
      <c r="A50" s="4" t="inlineStr">
        <is>
          <t>Comparable Companies</t>
        </is>
      </c>
      <c r="B50" s="26">
        <f>$B$22</f>
        <v/>
      </c>
    </row>
    <row r="51">
      <c r="A51" s="4" t="inlineStr">
        <is>
          <t>Precedent Transactions</t>
        </is>
      </c>
      <c r="B51" s="26">
        <f>$B$27</f>
        <v/>
      </c>
    </row>
    <row r="52">
      <c r="A52" s="4" t="inlineStr">
        <is>
          <t>DCF</t>
        </is>
      </c>
      <c r="B52" s="26">
        <f>$B$46</f>
        <v/>
      </c>
    </row>
    <row r="53">
      <c r="A53" s="4" t="inlineStr">
        <is>
          <t>Offer EV</t>
        </is>
      </c>
      <c r="B53" s="26">
        <f>$B$13</f>
        <v/>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8" customWidth="1" min="3" max="3"/>
    <col width="22" customWidth="1" min="4" max="4"/>
  </cols>
  <sheetData>
    <row r="1">
      <c r="A1" s="1" t="inlineStr">
        <is>
          <t>Synergy Analysis</t>
        </is>
      </c>
    </row>
    <row r="2">
      <c r="A2" s="2" t="inlineStr">
        <is>
          <t>Generated from deterministic Python calculations and final reviewed AI analyses.</t>
        </is>
      </c>
    </row>
    <row r="3"/>
    <row r="4">
      <c r="A4" s="3" t="inlineStr">
        <is>
          <t>SYNERGY ASSUMPTIONS (UNVALIDATED — LINKED TO ASSUMPTIONS)</t>
        </is>
      </c>
      <c r="B4" s="3" t="n"/>
      <c r="C4" s="3" t="n"/>
      <c r="D4" s="3" t="n"/>
    </row>
    <row r="5">
      <c r="A5" s="4" t="inlineStr">
        <is>
          <t>Annual cost synergy (USD millions)</t>
        </is>
      </c>
      <c r="B5" s="35">
        <f>'Assumptions'!$B$41</f>
        <v/>
      </c>
    </row>
    <row r="6">
      <c r="A6" s="4" t="inlineStr">
        <is>
          <t>Annual revenue synergy EBITDA (USD millions)</t>
        </is>
      </c>
      <c r="B6" s="35">
        <f>'Assumptions'!$B$42</f>
        <v/>
      </c>
    </row>
    <row r="7">
      <c r="A7" s="4" t="inlineStr">
        <is>
          <t>Realization years</t>
        </is>
      </c>
      <c r="B7" s="36">
        <f>'Assumptions'!$B$43</f>
        <v/>
      </c>
    </row>
    <row r="8">
      <c r="A8" s="4" t="inlineStr">
        <is>
          <t>Tax rate</t>
        </is>
      </c>
      <c r="B8" s="7">
        <f>'Assumptions'!$B$44</f>
        <v/>
      </c>
    </row>
    <row r="9">
      <c r="A9" s="4" t="inlineStr">
        <is>
          <t>Discount rate</t>
        </is>
      </c>
      <c r="B9" s="7">
        <f>'Assumptions'!$B$45</f>
        <v/>
      </c>
    </row>
    <row r="10"/>
    <row r="11">
      <c r="A11" s="3" t="inlineStr">
        <is>
          <t>SYNERGY VALUATION</t>
        </is>
      </c>
      <c r="B11" s="3" t="n"/>
      <c r="C11" s="3" t="n"/>
      <c r="D11" s="3" t="n"/>
    </row>
    <row r="12">
      <c r="A12" s="4" t="inlineStr">
        <is>
          <t>Annual cost synergy (USD millions)</t>
        </is>
      </c>
      <c r="B12" s="26">
        <f>B5</f>
        <v/>
      </c>
    </row>
    <row r="13">
      <c r="A13" s="4" t="inlineStr">
        <is>
          <t>Annual revenue synergy EBITDA (USD millions)</t>
        </is>
      </c>
      <c r="B13" s="26">
        <f>B6</f>
        <v/>
      </c>
    </row>
    <row r="14">
      <c r="A14" s="4" t="inlineStr">
        <is>
          <t>Annual pre-tax synergies (USD millions)</t>
        </is>
      </c>
      <c r="B14" s="31">
        <f>B5+B6</f>
        <v/>
      </c>
    </row>
    <row r="15">
      <c r="A15" s="4" t="inlineStr">
        <is>
          <t>Annual after-tax synergies (USD millions)</t>
        </is>
      </c>
      <c r="B15" s="31">
        <f>B14*(1-B8)</f>
        <v/>
      </c>
    </row>
    <row r="16">
      <c r="A16" s="4" t="inlineStr">
        <is>
          <t>PV of synergies (USD millions)</t>
        </is>
      </c>
      <c r="B16" s="31">
        <f>SUM(D22:D26)</f>
        <v/>
      </c>
    </row>
    <row r="17">
      <c r="A17" s="4" t="inlineStr">
        <is>
          <t>Integration cost (at close) (USD millions)</t>
        </is>
      </c>
      <c r="B17" s="35">
        <f>'Assumptions'!$B$46</f>
        <v/>
      </c>
    </row>
    <row r="18">
      <c r="A18" s="4" t="inlineStr">
        <is>
          <t>Net synergy value (USD millions)</t>
        </is>
      </c>
      <c r="B18" s="33">
        <f>B16-B17</f>
        <v/>
      </c>
      <c r="C18" s="8" t="inlineStr">
        <is>
          <t>Status: positive</t>
        </is>
      </c>
    </row>
    <row r="19"/>
    <row r="20">
      <c r="A20" s="3" t="inlineStr">
        <is>
          <t>DISCOUNTED SYNERGY SCHEDULE</t>
        </is>
      </c>
      <c r="B20" s="3" t="n"/>
      <c r="C20" s="3" t="n"/>
      <c r="D20" s="3" t="n"/>
    </row>
    <row r="21">
      <c r="A21" s="24" t="inlineStr">
        <is>
          <t>Year</t>
        </is>
      </c>
      <c r="B21" s="25" t="inlineStr">
        <is>
          <t>After-tax synergy (USD millions)</t>
        </is>
      </c>
      <c r="C21" s="25" t="inlineStr">
        <is>
          <t>Discount factor</t>
        </is>
      </c>
      <c r="D21" s="25" t="inlineStr">
        <is>
          <t>Discounted synergy (USD millions)</t>
        </is>
      </c>
    </row>
    <row r="22">
      <c r="A22" s="30" t="n">
        <v>1</v>
      </c>
      <c r="B22" s="31">
        <f>B15</f>
        <v/>
      </c>
      <c r="C22" s="32">
        <f>1/(1+B9)^A22</f>
        <v/>
      </c>
      <c r="D22" s="31">
        <f>B22*C22</f>
        <v/>
      </c>
    </row>
    <row r="23">
      <c r="A23" s="30" t="n">
        <v>2</v>
      </c>
      <c r="B23" s="31">
        <f>B15</f>
        <v/>
      </c>
      <c r="C23" s="32">
        <f>1/(1+B9)^A23</f>
        <v/>
      </c>
      <c r="D23" s="31">
        <f>B23*C23</f>
        <v/>
      </c>
    </row>
    <row r="24">
      <c r="A24" s="30" t="n">
        <v>3</v>
      </c>
      <c r="B24" s="31">
        <f>B15</f>
        <v/>
      </c>
      <c r="C24" s="32">
        <f>1/(1+B9)^A24</f>
        <v/>
      </c>
      <c r="D24" s="31">
        <f>B24*C24</f>
        <v/>
      </c>
    </row>
    <row r="25">
      <c r="A25" s="30" t="n">
        <v>4</v>
      </c>
      <c r="B25" s="31">
        <f>B15</f>
        <v/>
      </c>
      <c r="C25" s="32">
        <f>1/(1+B9)^A25</f>
        <v/>
      </c>
      <c r="D25" s="31">
        <f>B25*C25</f>
        <v/>
      </c>
    </row>
    <row r="26">
      <c r="A26" s="30" t="n">
        <v>5</v>
      </c>
      <c r="B26" s="31">
        <f>B15</f>
        <v/>
      </c>
      <c r="C26" s="32">
        <f>1/(1+B9)^A26</f>
        <v/>
      </c>
      <c r="D26" s="31">
        <f>B26*C26</f>
        <v/>
      </c>
    </row>
    <row r="27"/>
    <row r="28">
      <c r="A28" s="3" t="inlineStr">
        <is>
          <t>MODELLING CONVENTIONS</t>
        </is>
      </c>
      <c r="B28" s="3" t="n"/>
      <c r="C28" s="3" t="n"/>
      <c r="D28" s="3" t="n"/>
    </row>
    <row r="29" ht="27" customHeight="1">
      <c r="A29" s="14" t="inlineStr">
        <is>
          <t>• Full run-rate synergies from year one (no ramp-up).</t>
        </is>
      </c>
    </row>
    <row r="30" ht="27" customHeight="1">
      <c r="A30" s="14" t="inlineStr">
        <is>
          <t>• Finite realization period; no terminal synergy value.</t>
        </is>
      </c>
    </row>
    <row r="31" ht="27" customHeight="1">
      <c r="A31" s="14" t="inlineStr">
        <is>
          <t>• Integration cost is incurred at close, undiscounted and not tax-deductible.</t>
        </is>
      </c>
    </row>
    <row r="32" ht="27" customHeight="1">
      <c r="A32" s="14" t="inlineStr">
        <is>
          <t>• Synergy assumptions are unvalidated DEAL DATA assumptions.</t>
        </is>
      </c>
    </row>
    <row r="33" ht="27" customHeight="1">
      <c r="A33" s="14" t="inlineStr">
        <is>
          <t>• Integration cost vs PV of synergies (deterministic label): below.</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33"/>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60" customWidth="1" min="3" max="3"/>
  </cols>
  <sheetData>
    <row r="1">
      <c r="A1" s="1" t="inlineStr">
        <is>
          <t>Transaction Structure</t>
        </is>
      </c>
    </row>
    <row r="2">
      <c r="A2" s="2" t="inlineStr">
        <is>
          <t>Generated from deterministic Python calculations and final reviewed AI analyses.</t>
        </is>
      </c>
    </row>
    <row r="3"/>
    <row r="4">
      <c r="A4" s="3" t="inlineStr">
        <is>
          <t>PURCHASE PRICE</t>
        </is>
      </c>
      <c r="B4" s="3" t="n"/>
      <c r="C4" s="3" t="n"/>
    </row>
    <row r="5">
      <c r="A5" s="4" t="inlineStr">
        <is>
          <t>Offer enterprise value (USD millions)</t>
        </is>
      </c>
      <c r="B5" s="6">
        <f>'Assumptions'!$B$49</f>
        <v/>
      </c>
    </row>
    <row r="6">
      <c r="A6" s="4" t="inlineStr">
        <is>
          <t>Target debt (USD millions)</t>
        </is>
      </c>
      <c r="B6" s="6">
        <f>'Assumptions'!$B$28</f>
        <v/>
      </c>
    </row>
    <row r="7">
      <c r="A7" s="4" t="inlineStr">
        <is>
          <t>Target cash (USD millions)</t>
        </is>
      </c>
      <c r="B7" s="6">
        <f>'Assumptions'!$B$27</f>
        <v/>
      </c>
    </row>
    <row r="8">
      <c r="A8" s="4" t="inlineStr">
        <is>
          <t>Target net debt (USD millions)</t>
        </is>
      </c>
      <c r="B8" s="26">
        <f>B6-B7</f>
        <v/>
      </c>
    </row>
    <row r="9">
      <c r="A9" s="4" t="inlineStr">
        <is>
          <t>Offer equity value (USD millions)</t>
        </is>
      </c>
      <c r="B9" s="37">
        <f>B5-B8</f>
        <v/>
      </c>
    </row>
    <row r="10"/>
    <row r="11">
      <c r="A11" s="3" t="inlineStr">
        <is>
          <t>CONSIDERATION</t>
        </is>
      </c>
      <c r="B11" s="3" t="n"/>
      <c r="C11" s="3" t="n"/>
    </row>
    <row r="12">
      <c r="A12" s="4" t="inlineStr">
        <is>
          <t>Cash %</t>
        </is>
      </c>
      <c r="B12" s="7">
        <f>'Assumptions'!$B$50</f>
        <v/>
      </c>
    </row>
    <row r="13">
      <c r="A13" s="4" t="inlineStr">
        <is>
          <t>Stock %</t>
        </is>
      </c>
      <c r="B13" s="7">
        <f>'Assumptions'!$B$51</f>
        <v/>
      </c>
    </row>
    <row r="14">
      <c r="A14" s="4" t="inlineStr">
        <is>
          <t>Cash consideration (USD millions)</t>
        </is>
      </c>
      <c r="B14" s="26">
        <f>B9*B12</f>
        <v/>
      </c>
    </row>
    <row r="15">
      <c r="A15" s="4" t="inlineStr">
        <is>
          <t>Stock consideration (USD millions)</t>
        </is>
      </c>
      <c r="B15" s="26">
        <f>B9*B13</f>
        <v/>
      </c>
    </row>
    <row r="16"/>
    <row r="17">
      <c r="A17" s="3" t="inlineStr">
        <is>
          <t>FINANCING MODEL CONVENTION</t>
        </is>
      </c>
      <c r="B17" s="3" t="n"/>
      <c r="C17" s="3" t="n"/>
    </row>
    <row r="18" ht="40.5" customHeight="1">
      <c r="A18" s="14" t="inlineStr">
        <is>
          <t>The model assumes the cash portion of the equity purchase price is funded entirely with new debt at the supplied new-debt interest rate.</t>
        </is>
      </c>
    </row>
    <row r="19" ht="27" customHeight="1">
      <c r="A19" s="38" t="inlineStr">
        <is>
          <t>This is a modelling convention, NOT a confirmed financing plan.</t>
        </is>
      </c>
    </row>
    <row r="20">
      <c r="A20" s="4" t="inlineStr">
        <is>
          <t>New debt under model convention (USD millions)</t>
        </is>
      </c>
      <c r="B20" s="26">
        <f>B14</f>
        <v/>
      </c>
    </row>
    <row r="21">
      <c r="A21" s="4" t="inlineStr">
        <is>
          <t>New debt interest rate</t>
        </is>
      </c>
      <c r="B21" s="39">
        <f>'Assumptions'!$B$52</f>
        <v/>
      </c>
    </row>
    <row r="22">
      <c r="A22" s="4" t="inlineStr">
        <is>
          <t>Pre-tax interest expense (USD millions)</t>
        </is>
      </c>
      <c r="B22" s="31">
        <f>B20*B21</f>
        <v/>
      </c>
    </row>
    <row r="23">
      <c r="A23" s="4" t="inlineStr">
        <is>
          <t>Tax rate</t>
        </is>
      </c>
      <c r="B23" s="7">
        <f>'Assumptions'!$B$53</f>
        <v/>
      </c>
    </row>
    <row r="24">
      <c r="A24" s="4" t="inlineStr">
        <is>
          <t>After-tax interest expense (USD millions)</t>
        </is>
      </c>
      <c r="B24" s="31">
        <f>B22*(1-B23)</f>
        <v/>
      </c>
    </row>
    <row r="25" ht="27" customHeight="1">
      <c r="A25" s="10" t="inlineStr">
        <is>
          <t>Not modelled: leverage, debt capacity, covenant headroom, or credit-rating impact.</t>
        </is>
      </c>
    </row>
    <row r="26"/>
    <row r="27">
      <c r="A27" s="3" t="inlineStr">
        <is>
          <t>SHARE ISSUANCE / OWNERSHIP</t>
        </is>
      </c>
      <c r="B27" s="3" t="n"/>
      <c r="C27" s="3" t="n"/>
    </row>
    <row r="28">
      <c r="A28" s="4" t="inlineStr">
        <is>
          <t>Acquirer share price (USD per share)</t>
        </is>
      </c>
      <c r="B28" s="11">
        <f>'Assumptions'!$B$19</f>
        <v/>
      </c>
    </row>
    <row r="29">
      <c r="A29" s="4" t="inlineStr">
        <is>
          <t>Existing shares (millions)</t>
        </is>
      </c>
      <c r="B29" s="11">
        <f>'Assumptions'!$B$18</f>
        <v/>
      </c>
    </row>
    <row r="30">
      <c r="A30" s="4" t="inlineStr">
        <is>
          <t>New shares issued (millions)</t>
        </is>
      </c>
      <c r="B30" s="40">
        <f>B15/B28</f>
        <v/>
      </c>
    </row>
    <row r="31">
      <c r="A31" s="4" t="inlineStr">
        <is>
          <t>Pro forma shares (millions)</t>
        </is>
      </c>
      <c r="B31" s="40">
        <f>B29+B30</f>
        <v/>
      </c>
    </row>
    <row r="32">
      <c r="A32" s="4" t="inlineStr">
        <is>
          <t>Seller ownership</t>
        </is>
      </c>
      <c r="B32" s="41">
        <f>B30/B31</f>
        <v/>
      </c>
    </row>
    <row r="33">
      <c r="A33" s="4" t="inlineStr">
        <is>
          <t>Existing acquirer holder ownership</t>
        </is>
      </c>
      <c r="B33" s="41">
        <f>1-B32</f>
        <v/>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C35"/>
  <sheetViews>
    <sheetView showGridLines="0" workbookViewId="0">
      <pane ySplit="3" topLeftCell="A4" activePane="bottomLeft" state="frozen"/>
      <selection pane="bottomLeft" activeCell="A1" sqref="A1"/>
    </sheetView>
  </sheetViews>
  <sheetFormatPr baseColWidth="8" defaultRowHeight="15"/>
  <cols>
    <col width="46" customWidth="1" min="1" max="1"/>
    <col width="18" customWidth="1" min="2" max="2"/>
    <col width="60" customWidth="1" min="3" max="3"/>
  </cols>
  <sheetData>
    <row r="1">
      <c r="A1" s="1" t="inlineStr">
        <is>
          <t>Accretion / Dilution</t>
        </is>
      </c>
    </row>
    <row r="2">
      <c r="A2" s="2" t="inlineStr">
        <is>
          <t>Generated from deterministic Python calculations and final reviewed AI analyses.</t>
        </is>
      </c>
    </row>
    <row r="3"/>
    <row r="4">
      <c r="A4" s="3" t="inlineStr">
        <is>
          <t>CASE A — EXCLUDING SYNERGIES</t>
        </is>
      </c>
      <c r="B4" s="3" t="n"/>
      <c r="C4" s="3" t="n"/>
    </row>
    <row r="5">
      <c r="A5" s="4" t="inlineStr">
        <is>
          <t>Acquirer standalone net income (USD millions)</t>
        </is>
      </c>
      <c r="B5" s="6">
        <f>'Assumptions'!$B$15</f>
        <v/>
      </c>
    </row>
    <row r="6">
      <c r="A6" s="4" t="inlineStr">
        <is>
          <t>Target net income (USD millions)</t>
        </is>
      </c>
      <c r="B6" s="6">
        <f>'Assumptions'!$B$25</f>
        <v/>
      </c>
    </row>
    <row r="7">
      <c r="A7" s="4" t="inlineStr">
        <is>
          <t>After-tax interest expense (USD millions)</t>
        </is>
      </c>
      <c r="B7" s="42">
        <f>'Transaction Structure'!$B$24</f>
        <v/>
      </c>
    </row>
    <row r="8">
      <c r="A8" s="4" t="inlineStr">
        <is>
          <t>Synergy contribution (USD millions)</t>
        </is>
      </c>
      <c r="B8" s="31" t="n">
        <v>0</v>
      </c>
    </row>
    <row r="9">
      <c r="A9" s="4" t="inlineStr">
        <is>
          <t>Pro forma net income (USD millions)</t>
        </is>
      </c>
      <c r="B9" s="31">
        <f>B5+B6-B7+B8</f>
        <v/>
      </c>
    </row>
    <row r="10">
      <c r="A10" s="4" t="inlineStr">
        <is>
          <t>Existing shares (millions)</t>
        </is>
      </c>
      <c r="B10" s="11">
        <f>'Assumptions'!$B$18</f>
        <v/>
      </c>
    </row>
    <row r="11">
      <c r="A11" s="4" t="inlineStr">
        <is>
          <t>New shares issued (millions)</t>
        </is>
      </c>
      <c r="B11" s="11">
        <f>'Transaction Structure'!$B$30</f>
        <v/>
      </c>
    </row>
    <row r="12">
      <c r="A12" s="4" t="inlineStr">
        <is>
          <t>Pro forma shares (millions)</t>
        </is>
      </c>
      <c r="B12" s="40">
        <f>B10+B11</f>
        <v/>
      </c>
    </row>
    <row r="13">
      <c r="A13" s="4" t="inlineStr">
        <is>
          <t>Standalone EPS (USD per share)</t>
        </is>
      </c>
      <c r="B13" s="43">
        <f>B5/B10</f>
        <v/>
      </c>
    </row>
    <row r="14">
      <c r="A14" s="4" t="inlineStr">
        <is>
          <t>Pro forma EPS (USD per share)</t>
        </is>
      </c>
      <c r="B14" s="43">
        <f>B9/B12</f>
        <v/>
      </c>
    </row>
    <row r="15">
      <c r="A15" s="4" t="inlineStr">
        <is>
          <t>EPS change (USD per share)</t>
        </is>
      </c>
      <c r="B15" s="43">
        <f>B14-B13</f>
        <v/>
      </c>
    </row>
    <row r="16">
      <c r="A16" s="4" t="inlineStr">
        <is>
          <t>EPS change %</t>
        </is>
      </c>
      <c r="B16" s="34">
        <f>IF(B13=0,"n/a",B15/ABS(B13))</f>
        <v/>
      </c>
    </row>
    <row r="17">
      <c r="A17" s="4" t="inlineStr">
        <is>
          <t>Result</t>
        </is>
      </c>
      <c r="B17" s="44">
        <f>IF(ABS(B15)&lt;1E-12,"Neutral",IF(B15&gt;0,"Accretive","Dilutive"))</f>
        <v/>
      </c>
    </row>
    <row r="18"/>
    <row r="19">
      <c r="A19" s="3" t="inlineStr">
        <is>
          <t>CASE B — INCLUDING FULL RUN-RATE SYNERGIES</t>
        </is>
      </c>
      <c r="B19" s="3" t="n"/>
      <c r="C19" s="3" t="n"/>
    </row>
    <row r="20" ht="40.5" customHeight="1">
      <c r="A20" s="38" t="inlineStr">
        <is>
          <t>Synergy-inclusive accretion assumes full supplied run-rate synergies and should not be interpreted as the expected outcome.</t>
        </is>
      </c>
    </row>
    <row r="21">
      <c r="A21" s="4" t="inlineStr">
        <is>
          <t>Acquirer standalone net income (USD millions)</t>
        </is>
      </c>
      <c r="B21" s="6">
        <f>'Assumptions'!$B$15</f>
        <v/>
      </c>
    </row>
    <row r="22">
      <c r="A22" s="4" t="inlineStr">
        <is>
          <t>Target net income (USD millions)</t>
        </is>
      </c>
      <c r="B22" s="6">
        <f>'Assumptions'!$B$25</f>
        <v/>
      </c>
    </row>
    <row r="23">
      <c r="A23" s="4" t="inlineStr">
        <is>
          <t>After-tax interest expense (USD millions)</t>
        </is>
      </c>
      <c r="B23" s="42">
        <f>'Transaction Structure'!$B$24</f>
        <v/>
      </c>
    </row>
    <row r="24">
      <c r="A24" s="4" t="inlineStr">
        <is>
          <t>Synergy contribution (after tax) (USD millions)</t>
        </is>
      </c>
      <c r="B24" s="45">
        <f>'Synergies'!$B$15</f>
        <v/>
      </c>
    </row>
    <row r="25">
      <c r="A25" s="4" t="inlineStr">
        <is>
          <t>Pro forma net income (USD millions)</t>
        </is>
      </c>
      <c r="B25" s="31">
        <f>B21+B22-B23+B24</f>
        <v/>
      </c>
    </row>
    <row r="26">
      <c r="A26" s="4" t="inlineStr">
        <is>
          <t>Existing shares (millions)</t>
        </is>
      </c>
      <c r="B26" s="11">
        <f>'Assumptions'!$B$18</f>
        <v/>
      </c>
    </row>
    <row r="27">
      <c r="A27" s="4" t="inlineStr">
        <is>
          <t>New shares issued (millions)</t>
        </is>
      </c>
      <c r="B27" s="11">
        <f>'Transaction Structure'!$B$30</f>
        <v/>
      </c>
    </row>
    <row r="28">
      <c r="A28" s="4" t="inlineStr">
        <is>
          <t>Pro forma shares (millions)</t>
        </is>
      </c>
      <c r="B28" s="40">
        <f>B26+B27</f>
        <v/>
      </c>
    </row>
    <row r="29">
      <c r="A29" s="4" t="inlineStr">
        <is>
          <t>Standalone EPS (USD per share)</t>
        </is>
      </c>
      <c r="B29" s="43">
        <f>B21/B26</f>
        <v/>
      </c>
    </row>
    <row r="30">
      <c r="A30" s="4" t="inlineStr">
        <is>
          <t>Pro forma EPS (USD per share)</t>
        </is>
      </c>
      <c r="B30" s="43">
        <f>B25/B28</f>
        <v/>
      </c>
    </row>
    <row r="31">
      <c r="A31" s="4" t="inlineStr">
        <is>
          <t>EPS change (USD per share)</t>
        </is>
      </c>
      <c r="B31" s="43">
        <f>B30-B29</f>
        <v/>
      </c>
    </row>
    <row r="32">
      <c r="A32" s="4" t="inlineStr">
        <is>
          <t>EPS change %</t>
        </is>
      </c>
      <c r="B32" s="34">
        <f>IF(B29=0,"n/a",B31/ABS(B29))</f>
        <v/>
      </c>
    </row>
    <row r="33">
      <c r="A33" s="4" t="inlineStr">
        <is>
          <t>Result</t>
        </is>
      </c>
      <c r="B33" s="44">
        <f>IF(ABS(B31)&lt;1E-12,"Neutral",IF(B31&gt;0,"Accretive","Dilutive"))</f>
        <v/>
      </c>
    </row>
    <row r="34"/>
    <row r="35" ht="40.5" customHeight="1">
      <c r="A35" s="10" t="inlineStr">
        <is>
          <t>Both cases are single-year, run-rate EPS views from the deterministic accretion_dilution model. Neither case is a base, expected, or most likely case.</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A172"/>
  <sheetViews>
    <sheetView showGridLines="0" workbookViewId="0">
      <selection activeCell="A1" sqref="A1"/>
    </sheetView>
  </sheetViews>
  <sheetFormatPr baseColWidth="8" defaultRowHeight="15"/>
  <cols>
    <col width="120" customWidth="1" min="1" max="1"/>
  </cols>
  <sheetData>
    <row r="1">
      <c r="A1" s="1" t="inlineStr">
        <is>
          <t>Due Diligence — Final Reviewed Outputs</t>
        </is>
      </c>
    </row>
    <row r="2">
      <c r="A2" s="2" t="inlineStr">
        <is>
          <t>Generated from deterministic Python calculations and final reviewed AI analyses.</t>
        </is>
      </c>
    </row>
    <row r="3"/>
    <row r="4">
      <c r="A4" s="3" t="inlineStr">
        <is>
          <t>FINANCIAL DUE DILIGENCE</t>
        </is>
      </c>
    </row>
    <row r="5">
      <c r="A5" s="10" t="inlineStr">
        <is>
          <t>Current version: 1 — run kind: initial (initial analysis)</t>
        </is>
      </c>
    </row>
    <row r="6">
      <c r="A6" s="46" t="inlineStr">
        <is>
          <t>Financial Due Diligence</t>
        </is>
      </c>
    </row>
    <row r="7"/>
    <row r="8">
      <c r="A8" s="47" t="inlineStr">
        <is>
          <t>Observed Financial Evidence</t>
        </is>
      </c>
    </row>
    <row r="9" ht="27" customHeight="1">
      <c r="A9" s="14" t="inlineStr">
        <is>
          <t>- OBSERVED EVIDENCE: Accenture plc reports revenue of 69672.977, ebitda of 11594.049, net_income of 7678.433, cash of 10165.245, debt of 5142.265, shares_outstanding of 612.213453, and a share_price of 174.47.</t>
        </is>
      </c>
    </row>
    <row r="10" ht="27" customHeight="1">
      <c r="A10" s="14" t="inlineStr">
        <is>
          <t>- OBSERVED EVIDENCE: EPAM Systems, Inc. reports revenue of 5457.056, ebitda of 644.814, net_income of 377.678, free_cash_flow of 612.691, cash of 789.397, and debt of 25.0.</t>
        </is>
      </c>
    </row>
    <row r="11">
      <c r="A11" s="14" t="inlineStr">
        <is>
          <t>- OBSERVED EVIDENCE: The transaction involves an offer_enterprise_value of 6300.0, a cash_percentage of 0.7, and a stock_percentage of 0.3.</t>
        </is>
      </c>
    </row>
    <row r="12">
      <c r="A12" s="14" t="inlineStr">
        <is>
          <t>- OBSERVED EVIDENCE: Target net debt is -764.397.</t>
        </is>
      </c>
    </row>
    <row r="13">
      <c r="A13" s="14" t="inlineStr">
        <is>
          <t>- OBSERVED EVIDENCE: Offer equity value is 7064.397.</t>
        </is>
      </c>
    </row>
    <row r="14" ht="27" customHeight="1">
      <c r="A14" s="14" t="inlineStr">
        <is>
          <t>- OBSERVED EVIDENCE: Valuation range comprises Comparable Companies enterprise value of 5287.4748, Precedent Transactions enterprise value of 7931.2122, and Discounted Cash Flow enterprise value of 9863.0608.</t>
        </is>
      </c>
    </row>
    <row r="15" ht="27" customHeight="1">
      <c r="A15" s="14" t="inlineStr">
        <is>
          <t>- OBSERVED EVIDENCE: Annual pre-tax synergies are 325.0, annual after-tax synergies are 242.775, PV of synergies is 908.6724, integration cost is 300.0, and net synergy value is 608.6724.</t>
        </is>
      </c>
    </row>
    <row r="16">
      <c r="A16" s="14" t="inlineStr">
        <is>
          <t>- UNVERIFIED ASSUMPTION (DEAL DATA ASSUMPTION): comparable_ev_ebitda_multiple of 8.2.</t>
        </is>
      </c>
    </row>
    <row r="17">
      <c r="A17" s="14" t="inlineStr">
        <is>
          <t>- UNVERIFIED ASSUMPTION (DEAL DATA ASSUMPTION): precedent_ev_ebitda_multiple of 12.3.</t>
        </is>
      </c>
    </row>
    <row r="18">
      <c r="A18" s="14" t="inlineStr">
        <is>
          <t>- UNVERIFIED ASSUMPTION (DEAL DATA ASSUMPTION): forecast_years of 5, fcf_growth_rate of 0.08, wacc of 0.105, and terminal_growth_rate of 0.025.</t>
        </is>
      </c>
    </row>
    <row r="19" ht="27" customHeight="1">
      <c r="A19" s="14" t="inlineStr">
        <is>
          <t>- UNVERIFIED ASSUMPTION (DEAL DATA ASSUMPTION): annual_cost_synergy of 250.0, annual_revenue_synergy_ebitda of 75.0, realization_years of 5, tax_rate of 0.253, discount_rate of 0.105, and integration_cost of 300.0.</t>
        </is>
      </c>
    </row>
    <row r="20">
      <c r="A20" s="14" t="inlineStr">
        <is>
          <t>- UNVERIFIED ASSUMPTION (DEAL DATA ASSUMPTION): new_debt_interest_rate of 0.055.</t>
        </is>
      </c>
    </row>
    <row r="21"/>
    <row r="22">
      <c r="A22" s="47" t="inlineStr">
        <is>
          <t>Quality of Earnings</t>
        </is>
      </c>
    </row>
    <row r="23" ht="27" customHeight="1">
      <c r="A23" s="14" t="inlineStr">
        <is>
          <t>- Revenue quality: Detailed revenue recognition policies, recurring versus non-recurring revenue breakdowns, customer contract terms, and historical multi-period revenue trends are absent from DEAL DATA; therefore, revenue quality cannot be assessed.</t>
        </is>
      </c>
    </row>
    <row r="24" ht="27" customHeight="1">
      <c r="A24" s="14" t="inlineStr">
        <is>
          <t>- EBITDA quality: Reported target EBITDA is 644.814. Normalization adjustments, add-backs, non-recurring expenses, and multi-period EBITDA comparisons are absent from DEAL DATA; therefore, EBITDA quality cannot be assessed.</t>
        </is>
      </c>
    </row>
    <row r="25" ht="27" customHeight="1">
      <c r="A25" s="14" t="inlineStr">
        <is>
          <t>- Earnings sustainability: Multi-period earnings data, historical margin trends, and earnings stability metrics are absent from DEAL DATA, so earnings sustainability cannot be assessed.</t>
        </is>
      </c>
    </row>
    <row r="26" ht="27" customHeight="1">
      <c r="A26" s="14" t="inlineStr">
        <is>
          <t>- Quality of earnings and normalization adjustments: No QoE report or normalization adjustment schedule is supplied; quality of earnings and normalization adjustments remain unassessed.</t>
        </is>
      </c>
    </row>
    <row r="27" ht="27" customHeight="1">
      <c r="A27" s="14" t="inlineStr">
        <is>
          <t>- Historical growth consistency: DEAL DATA supplies single-period figures only and does not provide multi-period historical results. A single reported period cannot show a trend; historical growth consistency cannot be assessed.</t>
        </is>
      </c>
    </row>
    <row r="28" ht="27" customHeight="1">
      <c r="A28" s="14" t="inlineStr">
        <is>
          <t>- One-off / exceptional items: Data on exceptional gains, restructuring charges, or litigation expenses is absent; one-off and exceptional items cannot be assessed.</t>
        </is>
      </c>
    </row>
    <row r="29"/>
    <row r="30">
      <c r="A30" s="47" t="inlineStr">
        <is>
          <t>Cash Flow &amp; Balance Sheet Review</t>
        </is>
      </c>
    </row>
    <row r="31" ht="27" customHeight="1">
      <c r="A31" s="14" t="inlineStr">
        <is>
          <t>- Free cash flow quality: Target free_cash_flow is reported as 612.691 for the single supplied period. Multi-period cash flow conversion metrics, capital expenditure details, and working capital cash impacts are absent; FCF quality cannot be fully assessed.</t>
        </is>
      </c>
    </row>
    <row r="32" ht="27" customHeight="1">
      <c r="A32" s="14" t="inlineStr">
        <is>
          <t>- Debt / cash profile: Accenture plc reports cash of 10165.245 and debt of 5142.265. EPAM Systems, Inc. reports cash of 789.397 and debt of 25.0. Target net debt is -764.397. Debt maturity profiles, covenant terms, and detailed debt instrument data are absent.</t>
        </is>
      </c>
    </row>
    <row r="33" ht="27" customHeight="1">
      <c r="A33" s="14" t="inlineStr">
        <is>
          <t>- Working-capital considerations: Working capital balances, historical accounts receivable aging, inventory levels, and accounts payable schedules are absent from DEAL DATA; working-capital considerations are an INFORMATION GAP.</t>
        </is>
      </c>
    </row>
    <row r="34" ht="27" customHeight="1">
      <c r="A34" s="14" t="inlineStr">
        <is>
          <t>- Capex requirements: Historical capital expenditures and maintenance versus growth capex breakdowns are absent from DEAL DATA; capex requirements remain unassessed.</t>
        </is>
      </c>
    </row>
    <row r="35" ht="27" customHeight="1">
      <c r="A35" s="14" t="inlineStr">
        <is>
          <t>- Tax exposure: DEAL DATA supplies a tax_rate of 0.253 for synergy and transaction assumptions, but historical tax returns, deferred tax liabilities, ongoing audits, and jurisdictional tax exposures are absent. Tax exposure cannot be fully assessed.</t>
        </is>
      </c>
    </row>
    <row r="36"/>
    <row r="37">
      <c r="A37" s="47" t="inlineStr">
        <is>
          <t>Key Financial Red Flags</t>
        </is>
      </c>
    </row>
    <row r="38">
      <c r="A38" s="14" t="inlineStr">
        <is>
          <t>No evidence-backed financial red flag can be concluded from the supplied data alone.</t>
        </is>
      </c>
    </row>
    <row r="39"/>
    <row r="40">
      <c r="A40" s="47" t="inlineStr">
        <is>
          <t>Information Gaps</t>
        </is>
      </c>
    </row>
    <row r="41">
      <c r="A41" s="14" t="inlineStr">
        <is>
          <t>- Multi-period historical financial statements (income statements, balance sheets, and cash flow statements) for both acquirer and target.</t>
        </is>
      </c>
    </row>
    <row r="42">
      <c r="A42" s="14" t="inlineStr">
        <is>
          <t>- Revenue recognition accounting policies, deferred revenue balances, and customer contract terms.</t>
        </is>
      </c>
    </row>
    <row r="43">
      <c r="A43" s="14" t="inlineStr">
        <is>
          <t>- Detailed breakdown of operating expenses to support the unverified annual_cost_synergy assumption of 250.0.</t>
        </is>
      </c>
    </row>
    <row r="44">
      <c r="A44" s="14" t="inlineStr">
        <is>
          <t>- Historical capital expenditure details and projected capex schedules.</t>
        </is>
      </c>
    </row>
    <row r="45">
      <c r="A45" s="14" t="inlineStr">
        <is>
          <t>- Detailed working capital balances, accounts receivable aging reports, and inventory schedules.</t>
        </is>
      </c>
    </row>
    <row r="46">
      <c r="A46" s="14" t="inlineStr">
        <is>
          <t>- Customer concentration metrics, customer lists, and top customer revenue contributions for EPAM Systems, Inc.</t>
        </is>
      </c>
    </row>
    <row r="47">
      <c r="A47" s="14" t="inlineStr">
        <is>
          <t>- Tax audit history, deferred tax asset and liability details, and jurisdictional tax exposures.</t>
        </is>
      </c>
    </row>
    <row r="48">
      <c r="A48" s="14" t="inlineStr">
        <is>
          <t>- Detailed debt agreements, maturity schedules, and borrowing covenants.</t>
        </is>
      </c>
    </row>
    <row r="49"/>
    <row r="50">
      <c r="A50" s="47" t="inlineStr">
        <is>
          <t>Recommended Diligence Actions</t>
        </is>
      </c>
    </row>
    <row r="51" ht="27" customHeight="1">
      <c r="A51" s="14" t="inlineStr">
        <is>
          <t>- Recommended diligence action: obtain multi-period historical financial statements for EPAM Systems, Inc. to analyze revenue and earnings trends.</t>
        </is>
      </c>
    </row>
    <row r="52" ht="27" customHeight="1">
      <c r="A52" s="14" t="inlineStr">
        <is>
          <t>- Recommended diligence action: review detailed departmental headcount data, organizational charts, and procurement spend records to test the operational feasibility of the annual_cost_synergy of 250.0 and annual_revenue_synergy_ebitda of 75.0.</t>
        </is>
      </c>
    </row>
    <row r="53" ht="27" customHeight="1">
      <c r="A53" s="14" t="inlineStr">
        <is>
          <t>- Recommended diligence action: audit historical integration expenditures and separation cost benchmarks to evaluate the adequacy of the integration_cost of 300.0.</t>
        </is>
      </c>
    </row>
    <row r="54" ht="27" customHeight="1">
      <c r="A54" s="14" t="inlineStr">
        <is>
          <t>- Recommended diligence action: obtain detailed customer contracts and retention metrics for EPAM Systems, Inc. to assess customer concentration risk.</t>
        </is>
      </c>
    </row>
    <row r="55">
      <c r="A55" s="14" t="inlineStr">
        <is>
          <t>- Recommended diligence action: perform a comprehensive review of working capital accounts, tax positions, and capital expenditure requirements.</t>
        </is>
      </c>
    </row>
    <row r="56"/>
    <row r="57">
      <c r="A57" s="3" t="inlineStr">
        <is>
          <t>COMMERCIAL DUE DILIGENCE</t>
        </is>
      </c>
    </row>
    <row r="58">
      <c r="A58" s="10" t="inlineStr">
        <is>
          <t>Current version: 1 — run kind: initial (initial analysis)</t>
        </is>
      </c>
    </row>
    <row r="59">
      <c r="A59" s="46" t="inlineStr">
        <is>
          <t>Commercial Due Diligence</t>
        </is>
      </c>
    </row>
    <row r="60"/>
    <row r="61">
      <c r="A61" s="47" t="inlineStr">
        <is>
          <t>Observed Commercial Evidence</t>
        </is>
      </c>
    </row>
    <row r="62" ht="40.5" customHeight="1">
      <c r="A62" s="14" t="inlineStr">
        <is>
          <t>No commercial evidence is supplied in DEAL DATA or DETERMINISTIC CALCULATIONS regarding market position, market size, market growth, addressable market, competitive landscape, customer concentration, customer churn/retention, customer acquisition, recurring revenue, pricing power, sales channels, cross-sell potential, product differentiation, geographic presence, or demand sustainability.</t>
        </is>
      </c>
    </row>
    <row r="63"/>
    <row r="64">
      <c r="A64" s="47" t="inlineStr">
        <is>
          <t>Market &amp; Competitive Position</t>
        </is>
      </c>
    </row>
    <row r="65">
      <c r="A65" s="14" t="inlineStr">
        <is>
          <t>- Market size, market growth rates, and total addressable market are absent from the supplied data; market position cannot be assessed.</t>
        </is>
      </c>
    </row>
    <row r="66">
      <c r="A66" s="14" t="inlineStr">
        <is>
          <t>- Competitor identities and market-share data are not provided in DEAL DATA, so the competitive landscape remains unassessed.</t>
        </is>
      </c>
    </row>
    <row r="67"/>
    <row r="68">
      <c r="A68" s="47" t="inlineStr">
        <is>
          <t>Customer Quality</t>
        </is>
      </c>
    </row>
    <row r="69" ht="27" customHeight="1">
      <c r="A69" s="14" t="inlineStr">
        <is>
          <t>- Customer concentration metrics, churn rates, retention figures, and customer acquisition data are unavailable, so customer quality cannot be assessed.</t>
        </is>
      </c>
    </row>
    <row r="70"/>
    <row r="71">
      <c r="A71" s="47" t="inlineStr">
        <is>
          <t>Product &amp; Revenue Model</t>
        </is>
      </c>
    </row>
    <row r="72" ht="27" customHeight="1">
      <c r="A72" s="14" t="inlineStr">
        <is>
          <t>- Product differentiation details, service portfolio descriptions, recurring revenue breakdowns, and pricing power indicators are not supplied in DEAL DATA.</t>
        </is>
      </c>
    </row>
    <row r="73">
      <c r="A73" s="14" t="inlineStr">
        <is>
          <t>- Sales channel structures and go-to-market mechanisms remain unassessed due to absent data.</t>
        </is>
      </c>
    </row>
    <row r="74"/>
    <row r="75">
      <c r="A75" s="47" t="inlineStr">
        <is>
          <t>Commercial Synergy Validation</t>
        </is>
      </c>
    </row>
    <row r="76" ht="40.5" customHeight="1">
      <c r="A76" s="14" t="inlineStr">
        <is>
          <t>- The deal data supplies an annual_revenue_synergy_ebitda of 75.0 and an annual_cost_synergy of 250.0 (with a realization_years of 5, an integration_cost of 300.0, a tax_rate of 0.253, and a discount_rate of 0.105), which yield a deterministic pv_synergies of 908.6724 and a net_synergy_value of 608.6724.</t>
        </is>
      </c>
    </row>
    <row r="77">
      <c r="A77" s="14" t="inlineStr">
        <is>
          <t>- These figures are classified as UNVERIFIED ASSUMPTIONS (DEAL DATA ASSUMPTION) requiring validation.</t>
        </is>
      </c>
    </row>
    <row r="78" ht="40.5" customHeight="1">
      <c r="A78" s="14" t="inlineStr">
        <is>
          <t>- Commercial evidence needed to validate the annual_revenue_synergy_ebitda of 75.0 includes: detailed customer overlap analysis between Accenture plc and EPAM Systems, Inc., cross-sell pipeline documentation, historical win rates on bundled service offerings, pricing power studies by service category, and geographic sales footprint alignments.</t>
        </is>
      </c>
    </row>
    <row r="79" ht="27" customHeight="1">
      <c r="A79" s="14" t="inlineStr">
        <is>
          <t>- Commercial evidence needed to validate the annual_cost_synergy of 250.0 includes: departmental headcount data, organizational charts, facility locations, vendor contracts, procurement spend data, and IT system inventories.</t>
        </is>
      </c>
    </row>
    <row r="80" ht="27" customHeight="1">
      <c r="A80" s="14" t="inlineStr">
        <is>
          <t>- Furthermore, the deterministic modeling convention assumes run-rate synergies are counted in full from year one with no ramp-up, which must be tested against operational realities.</t>
        </is>
      </c>
    </row>
    <row r="81"/>
    <row r="82">
      <c r="A82" s="47" t="inlineStr">
        <is>
          <t>Key Commercial Red Flags</t>
        </is>
      </c>
    </row>
    <row r="83" ht="27" customHeight="1">
      <c r="A83" s="14" t="inlineStr">
        <is>
          <t>- No evidence-backed commercial red flag can be concluded from the supplied data alone. (Note: Missing commercial information is classified as INFORMATION GAPS rather than red flags.)</t>
        </is>
      </c>
    </row>
    <row r="84"/>
    <row r="85">
      <c r="A85" s="47" t="inlineStr">
        <is>
          <t>Information Gaps</t>
        </is>
      </c>
    </row>
    <row r="86">
      <c r="A86" s="14" t="inlineStr">
        <is>
          <t>- Market size, market growth rates, and addressable market data are absent.</t>
        </is>
      </c>
    </row>
    <row r="87">
      <c r="A87" s="14" t="inlineStr">
        <is>
          <t>- Market share and competitor landscape data are absent.</t>
        </is>
      </c>
    </row>
    <row r="88">
      <c r="A88" s="14" t="inlineStr">
        <is>
          <t>- Customer concentration, customer churn, retention metrics, and customer acquisition costs are absent.</t>
        </is>
      </c>
    </row>
    <row r="89">
      <c r="A89" s="14" t="inlineStr">
        <is>
          <t>- Recurring revenue composition and contract duration data are absent.</t>
        </is>
      </c>
    </row>
    <row r="90">
      <c r="A90" s="14" t="inlineStr">
        <is>
          <t>- Pricing power, gross margin drivers, and pricing elasticity data are absent.</t>
        </is>
      </c>
    </row>
    <row r="91">
      <c r="A91" s="14" t="inlineStr">
        <is>
          <t>- Sales channel structures and partner network details are absent.</t>
        </is>
      </c>
    </row>
    <row r="92">
      <c r="A92" s="14" t="inlineStr">
        <is>
          <t>- Cross-sell potential, product overlap, and product differentiation details are absent.</t>
        </is>
      </c>
    </row>
    <row r="93">
      <c r="A93" s="14" t="inlineStr">
        <is>
          <t>- Geographic presence and regional revenue breakdowns are absent.</t>
        </is>
      </c>
    </row>
    <row r="94">
      <c r="A94" s="14" t="inlineStr">
        <is>
          <t>- Demand sustainability drivers and macroeconomic exposure data are absent.</t>
        </is>
      </c>
    </row>
    <row r="95"/>
    <row r="96">
      <c r="A96" s="47" t="inlineStr">
        <is>
          <t>Recommended Diligence Actions</t>
        </is>
      </c>
    </row>
    <row r="97" ht="27" customHeight="1">
      <c r="A97" s="14" t="inlineStr">
        <is>
          <t>- Recommended diligence action: obtain detailed market reports and industry size metrics to evaluate the addressable market for EPAM Systems, Inc.</t>
        </is>
      </c>
    </row>
    <row r="98" ht="27" customHeight="1">
      <c r="A98" s="14" t="inlineStr">
        <is>
          <t>- Recommended diligence action: collect customer lists, top customer concentration percentages, retention metrics, and historical churn data for EPAM Systems, Inc.</t>
        </is>
      </c>
    </row>
    <row r="99" ht="27" customHeight="1">
      <c r="A99" s="14" t="inlineStr">
        <is>
          <t>- Recommended diligence action: review customer contracts, pricing schedules, and gross margin profiles to assess pricing power and recurring revenue characteristics.</t>
        </is>
      </c>
    </row>
    <row r="100" ht="27" customHeight="1">
      <c r="A100" s="14" t="inlineStr">
        <is>
          <t>- Recommended diligence action: evaluate product roadmaps, service offerings, and competitive differentiation reports for both Accenture plc and EPAM Systems, Inc. to test cross-sell potential.</t>
        </is>
      </c>
    </row>
    <row r="101">
      <c r="A101" s="14" t="inlineStr">
        <is>
          <t>- Recommended diligence action: compile geographic revenue breakdowns and sales channel documentation for both entities.</t>
        </is>
      </c>
    </row>
    <row r="102" ht="27" customHeight="1">
      <c r="A102" s="14" t="inlineStr">
        <is>
          <t>- Recommended diligence action: audit departmental headcount data, procurement spend, and vendor contracts to validate the operational feasibility of the annual_cost_synergy of 250.0 and integration_cost of 300.0.</t>
        </is>
      </c>
    </row>
    <row r="103"/>
    <row r="104">
      <c r="A104" s="3" t="inlineStr">
        <is>
          <t>LEGAL &amp; OPERATIONAL DUE DILIGENCE</t>
        </is>
      </c>
    </row>
    <row r="105">
      <c r="A105" s="10" t="inlineStr">
        <is>
          <t>Current version: 1 — run kind: initial (initial analysis)</t>
        </is>
      </c>
    </row>
    <row r="106">
      <c r="A106" s="46" t="inlineStr">
        <is>
          <t>Legal &amp; Operational Due Diligence</t>
        </is>
      </c>
    </row>
    <row r="107"/>
    <row r="108">
      <c r="A108" s="47" t="inlineStr">
        <is>
          <t>Observed Evidence</t>
        </is>
      </c>
    </row>
    <row r="109" ht="27" customHeight="1">
      <c r="A109" s="14" t="inlineStr">
        <is>
          <t>- The supplied data reports that Accenture plc has cash of 10165.245, debt of 5142.265, shares_outstanding of 612.213453, and a share_price of 174.47.</t>
        </is>
      </c>
    </row>
    <row r="110" ht="27" customHeight="1">
      <c r="A110" s="14" t="inlineStr">
        <is>
          <t>- The target, EPAM Systems, Inc., reports revenue of 5457.056, ebitda of 644.814, net_income of 377.678, free_cash_flow of 612.691, cash of 789.397, and debt of 25.0.</t>
        </is>
      </c>
    </row>
    <row r="111">
      <c r="A111" s="14" t="inlineStr">
        <is>
          <t>- The transaction involves an offer_enterprise_value of 6300.0, with a cash_percentage of 0.7 and a stock_percentage of 0.3.</t>
        </is>
      </c>
    </row>
    <row r="112">
      <c r="A112" s="14" t="inlineStr">
        <is>
          <t>- Synergy and integration assumptions supplied in DEAL DATA include:</t>
        </is>
      </c>
    </row>
    <row r="113">
      <c r="A113" s="14" t="inlineStr">
        <is>
          <t xml:space="preserve">  - an annual_cost_synergy of 250.0 (an UNVERIFIED ASSUMPTION (DEAL DATA ASSUMPTION))</t>
        </is>
      </c>
    </row>
    <row r="114">
      <c r="A114" s="14" t="inlineStr">
        <is>
          <t xml:space="preserve">  - an annual_revenue_synergy_ebitda of 75.0 (an UNVERIFIED ASSUMPTION (DEAL DATA ASSUMPTION))</t>
        </is>
      </c>
    </row>
    <row r="115">
      <c r="A115" s="14" t="inlineStr">
        <is>
          <t xml:space="preserve">  - realization_years of 5 (an UNVERIFIED ASSUMPTION (DEAL DATA ASSUMPTION))</t>
        </is>
      </c>
    </row>
    <row r="116">
      <c r="A116" s="14" t="inlineStr">
        <is>
          <t xml:space="preserve">  - an integration_cost of 300.0 (an UNVERIFIED ASSUMPTION (DEAL DATA ASSUMPTION))</t>
        </is>
      </c>
    </row>
    <row r="117">
      <c r="A117" s="14" t="inlineStr">
        <is>
          <t xml:space="preserve">  - a tax_rate of 0.253 (an UNVERIFIED ASSUMPTION (DEAL DATA ASSUMPTION))</t>
        </is>
      </c>
    </row>
    <row r="118">
      <c r="A118" s="14" t="inlineStr">
        <is>
          <t xml:space="preserve">  - a discount_rate of 0.105 (an UNVERIFIED ASSUMPTION (DEAL DATA ASSUMPTION))</t>
        </is>
      </c>
    </row>
    <row r="119">
      <c r="A119" s="14" t="inlineStr">
        <is>
          <t>- Deterministic synergy calculations report:</t>
        </is>
      </c>
    </row>
    <row r="120">
      <c r="A120" s="14" t="inlineStr">
        <is>
          <t xml:space="preserve">  - annual pre-tax synergies of 325.0</t>
        </is>
      </c>
    </row>
    <row r="121">
      <c r="A121" s="14" t="inlineStr">
        <is>
          <t xml:space="preserve">  - annual after-tax synergies of 242.775</t>
        </is>
      </c>
    </row>
    <row r="122">
      <c r="A122" s="14" t="inlineStr">
        <is>
          <t xml:space="preserve">  - PV of synergies of 908.6724</t>
        </is>
      </c>
    </row>
    <row r="123">
      <c r="A123" s="14" t="inlineStr">
        <is>
          <t xml:space="preserve">  - net synergy value of 608.6724</t>
        </is>
      </c>
    </row>
    <row r="124"/>
    <row r="125">
      <c r="A125" s="47" t="inlineStr">
        <is>
          <t>Legal &amp; Regulatory Review</t>
        </is>
      </c>
    </row>
    <row r="126" ht="27" customHeight="1">
      <c r="A126" s="14" t="inlineStr">
        <is>
          <t>- Material contracts and change-of-control clauses: No material contracts, customer agreements, vendor contracts, or change-of-control provisions are supplied in DEAL DATA. This area remains unassessed and constitutes an INFORMATION GAP.</t>
        </is>
      </c>
    </row>
    <row r="127" ht="27" customHeight="1">
      <c r="A127" s="14" t="inlineStr">
        <is>
          <t>- Litigation: No litigation records, pending claims, or legal disputes are supplied in DEAL DATA. Litigation status remains unassessed and constitutes an INFORMATION GAP.</t>
        </is>
      </c>
    </row>
    <row r="128" ht="27" customHeight="1">
      <c r="A128" s="14" t="inlineStr">
        <is>
          <t>- Regulatory exposure: No regulatory filings, licensing documents, antitrust assessments, or compliance records are supplied in DEAL DATA. Regulatory exposure remains unassessed and constitutes an INFORMATION GAP.</t>
        </is>
      </c>
    </row>
    <row r="129" ht="27" customHeight="1">
      <c r="A129" s="14" t="inlineStr">
        <is>
          <t>- IP ownership and licensing: No patent portfolios, trademark records, proprietary technology details, or software licensing agreements are supplied in DEAL DATA. Intellectual property ownership and licensing remain unassessed and constitute an INFORMATION GAP.</t>
        </is>
      </c>
    </row>
    <row r="130" ht="27" customHeight="1">
      <c r="A130" s="14" t="inlineStr">
        <is>
          <t>- Data / privacy obligations: No data governance policies, privacy compliance records (such as GDPR or CCPA), or cybersecurity regulatory filings are supplied in DEAL DATA. Data and privacy obligations remain unassessed and constitute an INFORMATION GAP.</t>
        </is>
      </c>
    </row>
    <row r="131" ht="27" customHeight="1">
      <c r="A131" s="14" t="inlineStr">
        <is>
          <t>- Employment liabilities: No employee census data, pension obligations, collective bargaining agreements, or retention agreements are supplied in DEAL DATA. Employment liabilities remain unassessed and constitute an INFORMATION GAP.</t>
        </is>
      </c>
    </row>
    <row r="132" ht="27" customHeight="1">
      <c r="A132" s="14" t="inlineStr">
        <is>
          <t>- Tax / legal disputes: No tax audit records, tax dispute filings, or active legal proceedings are supplied in DEAL DATA. Tax and legal disputes remain unassessed and constitute an INFORMATION GAP.</t>
        </is>
      </c>
    </row>
    <row r="133"/>
    <row r="134">
      <c r="A134" s="47" t="inlineStr">
        <is>
          <t>Technology &amp; Operations Review</t>
        </is>
      </c>
    </row>
    <row r="135" ht="27" customHeight="1">
      <c r="A135" s="14" t="inlineStr">
        <is>
          <t>- Organization structure and headcount: No departmental headcount data, organizational charts, or reporting lines are supplied in DEAL DATA. Organization structure remains unassessed and constitutes an INFORMATION GAP.</t>
        </is>
      </c>
    </row>
    <row r="136" ht="27" customHeight="1">
      <c r="A136" s="14" t="inlineStr">
        <is>
          <t>- Key-person dependencies: No management biographies, key personnel retention agreements, or talent dependency analyses are supplied in DEAL DATA. Key-person dependencies remain unassessed and constitute an INFORMATION GAP.</t>
        </is>
      </c>
    </row>
    <row r="137" ht="27" customHeight="1">
      <c r="A137" s="14" t="inlineStr">
        <is>
          <t>- Systems compatibility and technology stack: No IT infrastructure inventories, software architecture descriptions, or platform compatibility assessments are supplied in DEAL DATA. Systems compatibility remains unassessed and constitutes an INFORMATION GAP.</t>
        </is>
      </c>
    </row>
    <row r="138" ht="27" customHeight="1">
      <c r="A138" s="14" t="inlineStr">
        <is>
          <t>- Cybersecurity: No cybersecurity audit reports, penetration testing results, or incident response histories are supplied in DEAL DATA. Cybersecurity remains unassessed and constitutes an INFORMATION GAP.</t>
        </is>
      </c>
    </row>
    <row r="139" ht="27" customHeight="1">
      <c r="A139" s="14" t="inlineStr">
        <is>
          <t>- Vendor dependencies: No critical vendor lists, supply chain contracts, or third-party dependency data are supplied in DEAL DATA. Vendor dependencies remain unassessed and constitute an INFORMATION GAP.</t>
        </is>
      </c>
    </row>
    <row r="140" ht="27" customHeight="1">
      <c r="A140" s="14" t="inlineStr">
        <is>
          <t>- Facilities: No real estate lease agreements, facility locations, or physical infrastructure data are supplied in DEAL DATA. Facilities remain unassessed and constitute an INFORMATION GAP.</t>
        </is>
      </c>
    </row>
    <row r="141" ht="27" customHeight="1">
      <c r="A141" s="14" t="inlineStr">
        <is>
          <t>- Integration complexity: No integration playbook, separation plan, or operational harmonization timeline is supplied in DEAL DATA. Integration complexity remains unassessed and constitutes an INFORMATION GAP.</t>
        </is>
      </c>
    </row>
    <row r="142" ht="27" customHeight="1">
      <c r="A142" s="14" t="inlineStr">
        <is>
          <t>- Business continuity: No business continuity plans, disaster recovery protocols, or operational redundancy records are supplied in DEAL DATA. Business continuity remains unassessed and constitutes an INFORMATION GAP.</t>
        </is>
      </c>
    </row>
    <row r="143" ht="27" customHeight="1">
      <c r="A143" s="14" t="inlineStr">
        <is>
          <t>- Operational scalability: No capacity utilization metrics, infrastructure scaling plans, or volume processing records are supplied in DEAL DATA. Operational scalability remains unassessed and constitutes an INFORMATION GAP.</t>
        </is>
      </c>
    </row>
    <row r="144"/>
    <row r="145">
      <c r="A145" s="47" t="inlineStr">
        <is>
          <t>Integration Considerations</t>
        </is>
      </c>
    </row>
    <row r="146">
      <c r="A146" s="14" t="inlineStr">
        <is>
          <t>- The integration_cost of 300.0 and realization_years of 5 may be quoted as UNVERIFIED ASSUMPTIONS (DEAL DATA ASSUMPTIONS).</t>
        </is>
      </c>
    </row>
    <row r="147" ht="27" customHeight="1">
      <c r="A147" s="14" t="inlineStr">
        <is>
          <t>- The deterministic synergy calculations note that run-rate synergies are counted in full from year one with no ramp-up, and that integration cost is a one-off cost at close that is undiscounted and not tax-deductible.</t>
        </is>
      </c>
    </row>
    <row r="148" ht="27" customHeight="1">
      <c r="A148" s="14" t="inlineStr">
        <is>
          <t>- No integration plan, departmental transition budget, or operational schedule is supplied in DEAL DATA. The adequacy of the integration plan, budget, and timeline cannot be assessed from supplied evidence.</t>
        </is>
      </c>
    </row>
    <row r="149"/>
    <row r="150">
      <c r="A150" s="47" t="inlineStr">
        <is>
          <t>Key Legal / Operational Red Flags</t>
        </is>
      </c>
    </row>
    <row r="151" ht="27" customHeight="1">
      <c r="A151" s="14" t="inlineStr">
        <is>
          <t>- No evidence-backed legal or operational red flag can be concluded from the supplied data alone. All potential legal, regulatory, technological, and operational risk areas remain unassessed due to the complete absence of source documentation in DEAL DATA.</t>
        </is>
      </c>
    </row>
    <row r="152"/>
    <row r="153">
      <c r="A153" s="47" t="inlineStr">
        <is>
          <t>Information Gaps</t>
        </is>
      </c>
    </row>
    <row r="154">
      <c r="A154" s="14" t="inlineStr">
        <is>
          <t>- Absence of material contracts, customer agreements, and change-of-control provisions for EPAM Systems, Inc.</t>
        </is>
      </c>
    </row>
    <row r="155">
      <c r="A155" s="14" t="inlineStr">
        <is>
          <t>- Absence of litigation, pending claims, and legal dispute records for both Accenture plc and EPAM Systems, Inc.</t>
        </is>
      </c>
    </row>
    <row r="156">
      <c r="A156" s="14" t="inlineStr">
        <is>
          <t>- Absence of regulatory compliance, licensing, and antitrust filings.</t>
        </is>
      </c>
    </row>
    <row r="157">
      <c r="A157" s="14" t="inlineStr">
        <is>
          <t>- Absence of intellectual property ownership documentation, patent filings, and software licensing inventories.</t>
        </is>
      </c>
    </row>
    <row r="158">
      <c r="A158" s="14" t="inlineStr">
        <is>
          <t>- Absence of data governance, privacy compliance, and cybersecurity audit records.</t>
        </is>
      </c>
    </row>
    <row r="159">
      <c r="A159" s="14" t="inlineStr">
        <is>
          <t>- Absence of employee census data, organizational charts, collective bargaining agreements, and benefit plan details.</t>
        </is>
      </c>
    </row>
    <row r="160">
      <c r="A160" s="14" t="inlineStr">
        <is>
          <t>- Absence of tax audit histories and active tax dispute filings.</t>
        </is>
      </c>
    </row>
    <row r="161">
      <c r="A161" s="14" t="inlineStr">
        <is>
          <t>- Absence of IT system inventories, technology stack documentation, and systems compatibility assessments.</t>
        </is>
      </c>
    </row>
    <row r="162">
      <c r="A162" s="14" t="inlineStr">
        <is>
          <t>- Absence of critical vendor contracts, third-party dependency lists, and procurement spend data.</t>
        </is>
      </c>
    </row>
    <row r="163">
      <c r="A163" s="14" t="inlineStr">
        <is>
          <t>- Absence of real estate leases, facility inventories, and business continuity plans.</t>
        </is>
      </c>
    </row>
    <row r="164"/>
    <row r="165">
      <c r="A165" s="47" t="inlineStr">
        <is>
          <t>Recommended Diligence Actions</t>
        </is>
      </c>
    </row>
    <row r="166" ht="27" customHeight="1">
      <c r="A166" s="14" t="inlineStr">
        <is>
          <t>- Recommended diligence action: obtain and review all material customer and vendor contracts of EPAM Systems, Inc. to identify change-of-control clauses and potential assignment restrictions.</t>
        </is>
      </c>
    </row>
    <row r="167" ht="27" customHeight="1">
      <c r="A167" s="14" t="inlineStr">
        <is>
          <t>- Recommended diligence action: conduct a comprehensive legal and litigation audit covering all active or threatened claims against EPAM Systems, Inc.</t>
        </is>
      </c>
    </row>
    <row r="168" ht="27" customHeight="1">
      <c r="A168" s="14" t="inlineStr">
        <is>
          <t>- Recommended diligence action: inspect intellectual property assignments, patent registrations, and software source code escrow arrangements to verify clean title to core technology.</t>
        </is>
      </c>
    </row>
    <row r="169" ht="27" customHeight="1">
      <c r="A169" s="14" t="inlineStr">
        <is>
          <t>- Recommended diligence action: review data privacy compliance policies and cybersecurity audit reports for EPAM Systems, Inc. to evaluate regulatory exposure.</t>
        </is>
      </c>
    </row>
    <row r="170" ht="27" customHeight="1">
      <c r="A170" s="14" t="inlineStr">
        <is>
          <t>- Recommended diligence action: obtain detailed organizational charts and departmental headcount data to evaluate potential organizational overlap and test the annual_cost_synergy of 250.0.</t>
        </is>
      </c>
    </row>
    <row r="171" ht="27" customHeight="1">
      <c r="A171" s="14" t="inlineStr">
        <is>
          <t>- Recommended diligence action: audit historical integration expenditures and separation cost benchmarks to verify the adequacy of the integration_cost of 300.0.</t>
        </is>
      </c>
    </row>
    <row r="172" ht="27" customHeight="1">
      <c r="A172" s="14" t="inlineStr">
        <is>
          <t>- Recommended diligence action: review IT infrastructure inventories and software architectures for both Accenture plc and EPAM Systems, Inc. to assess systems compatibility and operational integration complexity.</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A64"/>
  <sheetViews>
    <sheetView showGridLines="0" workbookViewId="0">
      <selection activeCell="A1" sqref="A1"/>
    </sheetView>
  </sheetViews>
  <sheetFormatPr baseColWidth="8" defaultRowHeight="15"/>
  <cols>
    <col width="120" customWidth="1" min="1" max="1"/>
  </cols>
  <sheetData>
    <row r="1">
      <c r="A1" s="1" t="inlineStr">
        <is>
          <t>Risk Summary</t>
        </is>
      </c>
    </row>
    <row r="2">
      <c r="A2" s="2" t="inlineStr">
        <is>
          <t>Generated from deterministic Python calculations and final reviewed AI analyses.</t>
        </is>
      </c>
    </row>
    <row r="3"/>
    <row r="4">
      <c r="A4" s="3" t="inlineStr">
        <is>
          <t>RISK ANALYST — FINAL REVIEWED OUTPUT</t>
        </is>
      </c>
    </row>
    <row r="5">
      <c r="A5" s="10" t="inlineStr">
        <is>
          <t>Current version: 1 — run kind: initial (initial analysis)</t>
        </is>
      </c>
    </row>
    <row r="6">
      <c r="A6" s="46" t="inlineStr">
        <is>
          <t>Deal Risk Assessment</t>
        </is>
      </c>
    </row>
    <row r="7"/>
    <row r="8">
      <c r="A8" s="47" t="inlineStr">
        <is>
          <t>Evidence-Backed Risks</t>
        </is>
      </c>
    </row>
    <row r="9" ht="27" customHeight="1">
      <c r="A9" s="14" t="inlineStr">
        <is>
          <t>- **Valuation positioning relative to market methods**: The deterministic valuation summary reports an offer_enterprise_value of 6300.0, which is above the Comparable Companies enterprise value of 5287.4748 (reported by Valuation Analyst and deterministic calculations).</t>
        </is>
      </c>
    </row>
    <row r="10" ht="27" customHeight="1">
      <c r="A10" s="14" t="inlineStr">
        <is>
          <t>- **Synergy execution timing risk**: The deterministic synergy calculation notes that run-rate synergies are counted in full from year one with no ramp-up, creating immediate realization risk if operational execution is delayed (supported by Synergy Analyst).</t>
        </is>
      </c>
    </row>
    <row r="11" ht="40.5" customHeight="1">
      <c r="A11" s="14" t="inlineStr">
        <is>
          <t>- **Financing leverage reliance**: The deterministic transaction structure models the cash portion of the equity purchase price (new_debt_under_financing_convention of 4945.0779) entirely as new acquisition debt, resulting in annual_pre_tax_interest_expense of 271.9793 and annual_after_tax_interest_expense of 203.1685, which assumes debt capacity without confirmed financing agreements (supported by Deal Structuring Analyst).</t>
        </is>
      </c>
    </row>
    <row r="12"/>
    <row r="13">
      <c r="A13" s="47" t="inlineStr">
        <is>
          <t>Unverified Assumptions</t>
        </is>
      </c>
    </row>
    <row r="14" ht="27" customHeight="1">
      <c r="A14" s="14" t="inlineStr">
        <is>
          <t>- **Comparable EV/EBITDA Multiple**: comparable_ev_ebitda_multiple of 8.2 (DEAL DATA ASSUMPTION, cited by Valuation Analyst and Financial Due Diligence).</t>
        </is>
      </c>
    </row>
    <row r="15" ht="27" customHeight="1">
      <c r="A15" s="14" t="inlineStr">
        <is>
          <t>- **Precedent EV/EBITDA Multiple**: precedent_ev_ebitda_multiple of 12.3 (DEAL DATA ASSUMPTION, cited by Valuation Analyst and Financial Due Diligence).</t>
        </is>
      </c>
    </row>
    <row r="16" ht="27" customHeight="1">
      <c r="A16" s="14" t="inlineStr">
        <is>
          <t>- **DCF Forecast Parameters**: forecast_years of 5, fcf_growth_rate of 0.08, wacc of 0.105, and terminal_growth_rate of 0.025 (DEAL DATA ASSUMPTIONS, cited by Valuation Analyst and Financial Due Diligence).</t>
        </is>
      </c>
    </row>
    <row r="17" ht="40.5" customHeight="1">
      <c r="A17" s="14" t="inlineStr">
        <is>
          <t>- **Cost and Revenue Synergies**: annual_cost_synergy of 250.0, annual_revenue_synergy_ebitda of 75.0, realization_years of 5, integration_cost of 300.0, tax_rate of 0.253, and discount_rate of 0.105 (DEAL DATA ASSUMPTIONS, cited by Synergy Analyst, Financial Due Diligence, and Legal &amp; Operational Due Diligence).</t>
        </is>
      </c>
    </row>
    <row r="18" ht="27" customHeight="1">
      <c r="A18" s="14" t="inlineStr">
        <is>
          <t>- **New Debt Interest Rate**: new_debt_interest_rate of 0.055 (DEAL DATA ASSUMPTION, cited by Financial Due Diligence and Deal Structuring Analyst).</t>
        </is>
      </c>
    </row>
    <row r="19" ht="27" customHeight="1">
      <c r="A19" s="14" t="inlineStr">
        <is>
          <t>- **Consideration Proportions**: cash_percentage of 0.7 and stock_percentage of 0.3 (DEAL DATA ASSUMPTIONS, cited by Deal Lead, Financial Due Diligence, Commercial Due Diligence, Legal &amp; Operational Due Diligence, and Deal Structuring Analyst).</t>
        </is>
      </c>
    </row>
    <row r="20"/>
    <row r="21">
      <c r="A21" s="47" t="inlineStr">
        <is>
          <t>Information Gaps</t>
        </is>
      </c>
    </row>
    <row r="22" ht="40.5" customHeight="1">
      <c r="A22" s="14" t="inlineStr">
        <is>
          <t>- **Product, Technology, and Market Data**: Strategic Fit Analyst and Commercial Due Diligence noted the absence of product roadmaps, technology portfolios, service offerings, market size, market growth rates, addressable market data, market share, and competitive landscape details in DEAL DATA.</t>
        </is>
      </c>
    </row>
    <row r="23" ht="40.5" customHeight="1">
      <c r="A23" s="14" t="inlineStr">
        <is>
          <t>- **Customer and Commercial Metrics**: Deal Lead, Strategic Fit Analyst, Commercial Due Diligence, and Financial Due Diligence noted that customer concentration metrics, customer lists, top customer revenue contributions, retention metrics, historical churn rates, and recurring revenue breakdowns are absent.</t>
        </is>
      </c>
    </row>
    <row r="24" ht="27" customHeight="1">
      <c r="A24" s="14" t="inlineStr">
        <is>
          <t>- **Historical Financial Statements**: Financial Due Diligence identified the absence of multi-period historical financial statements (income statements, balance sheets, and cash flow statements) for both acquirer and target.</t>
        </is>
      </c>
    </row>
    <row r="25" ht="27" customHeight="1">
      <c r="A25" s="14" t="inlineStr">
        <is>
          <t>- **Working Capital and Capex Details**: Financial Due Diligence reported that detailed working capital balances, accounts receivable aging reports, inventory schedules, historical capex details, and projected capex schedules are missing.</t>
        </is>
      </c>
    </row>
    <row r="26" ht="40.5" customHeight="1">
      <c r="A26" s="14" t="inlineStr">
        <is>
          <t>- **Legal, Regulatory, and Compliance Records**: Legal &amp; Operational Due Diligence noted the absence of material contracts, change-of-control provisions, litigation records, regulatory compliance filings, intellectual property ownership documentation, data privacy compliance records, and cybersecurity audit reports.</t>
        </is>
      </c>
    </row>
    <row r="27" ht="27" customHeight="1">
      <c r="A27" s="14" t="inlineStr">
        <is>
          <t>- **Operational and Organizational Data**: Legal &amp; Operational Due Diligence identified missing departmental headcount data, organizational charts, collective bargaining agreements, IT system inventories, critical vendor contracts, and real estate lease agreements.</t>
        </is>
      </c>
    </row>
    <row r="28" ht="27" customHeight="1">
      <c r="A28" s="14" t="inlineStr">
        <is>
          <t>- **Financing and Structuring Terms**: Deal Structuring Analyst noted that definitive debt financing agreements, rollover equity arrangements, management incentives, purchase-price adjustment mechanisms, escrows, and earn-out provisions are absent from DEAL DATA.</t>
        </is>
      </c>
    </row>
    <row r="29"/>
    <row r="30">
      <c r="A30" s="47" t="inlineStr">
        <is>
          <t>Cross-Workstream Dependencies</t>
        </is>
      </c>
    </row>
    <row r="31" ht="27" customHeight="1">
      <c r="A31" s="14" t="inlineStr">
        <is>
          <t>- Valuation and Deal Structuring depend on the offer_enterprise_value of 6300.0 and target_net_debt of -764.397 to determine the offer_equity_value of 7064.397.</t>
        </is>
      </c>
    </row>
    <row r="32" ht="40.5" customHeight="1">
      <c r="A32" s="14" t="inlineStr">
        <is>
          <t>- The accretion/dilution analysis (reporting eps_impact_excluding_synergies as "Accretive" and eps_impact_including_run_rate_synergies as "Accretive") depends on the standalone net incomes, acquirer share price of 174.47, new shares issued of 12.1472, and new debt interest rate of 0.055, combined with synergy present values.</t>
        </is>
      </c>
    </row>
    <row r="33" ht="27" customHeight="1">
      <c r="A33" s="14" t="inlineStr">
        <is>
          <t>- Synergy valuation depends on the discounted cash flow discount_rate of 0.105, tax_rate of 0.253, and realization_years of 5 to establish the net_synergy_value of 608.6724.</t>
        </is>
      </c>
    </row>
    <row r="34" ht="27" customHeight="1">
      <c r="A34" s="14" t="inlineStr">
        <is>
          <t>- Commercial and Synergy workstreams rely on operational data (headcount, customer contracts, procurement spend) that is currently absent from DEAL DATA to validate cost and revenue synergy assumptions.</t>
        </is>
      </c>
    </row>
    <row r="35"/>
    <row r="36">
      <c r="A36" s="47" t="inlineStr">
        <is>
          <t>Risk Mitigation / Diligence Actions</t>
        </is>
      </c>
    </row>
    <row r="37" ht="27" customHeight="1">
      <c r="A37" s="14" t="inlineStr">
        <is>
          <t>- Recommended diligence action: obtain detailed customer contracts and retention metrics for EPAM Systems, Inc. to evaluate customer concentration risk (as recommended by Deal Lead, Strategic Fit Analyst, Synergy Analyst, and Financial Due Diligence).</t>
        </is>
      </c>
    </row>
    <row r="38" ht="40.5" customHeight="1">
      <c r="A38" s="14" t="inlineStr">
        <is>
          <t>- Recommended diligence action: verify the operational feasibility of achieving the annual_cost_synergy of 250.0 and annual_revenue_synergy_ebitda of 75.0 within the specified realization_years of 5 through departmental headcount and procurement reviews (as recommended by Deal Lead, Strategic Fit Analyst, Synergy Analyst, Financial Due Diligence, Commercial Due Diligence, and Legal &amp; Operational Due Diligence).</t>
        </is>
      </c>
    </row>
    <row r="39" ht="27" customHeight="1">
      <c r="A39" s="14" t="inlineStr">
        <is>
          <t>- Recommended diligence action: audit the integration_cost of 300.0 against historical integration expenditures and separation cost benchmarks (as recommended by Deal Lead, Synergy Analyst, Financial Due Diligence, and Legal &amp; Operational Due Diligence).</t>
        </is>
      </c>
    </row>
    <row r="40" ht="27" customHeight="1">
      <c r="A40" s="14" t="inlineStr">
        <is>
          <t>- Recommended diligence action: obtain multi-period historical financial statements for EPAM Systems, Inc. to analyze revenue and earnings trends (as recommended by Financial Due Diligence).</t>
        </is>
      </c>
    </row>
    <row r="41" ht="27" customHeight="1">
      <c r="A41" s="14" t="inlineStr">
        <is>
          <t>- Recommended diligence action: perform a comprehensive review of working capital accounts, tax positions, and capital expenditure requirements (as recommended by Financial Due Diligence).</t>
        </is>
      </c>
    </row>
    <row r="42" ht="27" customHeight="1">
      <c r="A42" s="14" t="inlineStr">
        <is>
          <t>- Recommended diligence action: obtain market reports, addressable market metrics, customer lists, pricing schedules, and geographic sales breakdowns to assess commercial positioning (as recommended by Commercial Due Diligence).</t>
        </is>
      </c>
    </row>
    <row r="43" ht="27" customHeight="1">
      <c r="A43" s="14" t="inlineStr">
        <is>
          <t>- Recommended diligence action: conduct a comprehensive legal and litigation audit, review material customer and vendor contracts for change-of-control clauses, and inspect intellectual property assignments (as recommended by Legal &amp; Operational Due Diligence).</t>
        </is>
      </c>
    </row>
    <row r="44" ht="27" customHeight="1">
      <c r="A44" s="14" t="inlineStr">
        <is>
          <t>- Recommended diligence action: obtain formal financing commitments and term sheets to replace the deterministic model's financing convention with confirmed debt financing terms (as recommended by Deal Structuring Analyst).</t>
        </is>
      </c>
    </row>
    <row r="45" ht="40.5" customHeight="1">
      <c r="A45" s="14" t="inlineStr">
        <is>
          <t>- Recommended diligence action: investigate the target's existing debt instruments to determine whether mandatory prepayment or refinancing is triggered upon a change of control, and structure purchase-price adjustment mechanisms and retention plans (as recommended by Deal Structuring Analyst).</t>
        </is>
      </c>
    </row>
    <row r="46"/>
    <row r="47">
      <c r="A47" s="47" t="inlineStr">
        <is>
          <t>Items for Investment Committee Attention</t>
        </is>
      </c>
    </row>
    <row r="48" ht="40.5" customHeight="1">
      <c r="A48" s="14" t="inlineStr">
        <is>
          <t>- Whether the offer_enterprise_value of 6300.0 (which sits above the Comparable Companies enterprise value of 5287.4748 but below the Precedent Transactions enterprise value of 7931.2122 and DCF enterprise value of 9863.0608) is justified in the absence of qualitative product and market share data.</t>
        </is>
      </c>
    </row>
    <row r="49" ht="27" customHeight="1">
      <c r="A49" s="14" t="inlineStr">
        <is>
          <t>- The sensitivity of transaction returns to unverified synergy assumptions (annual_cost_synergy of 250.0 and annual_revenue_synergy_ebitda of 75.0) and the assumption of immediate run-rate synergy realization without a ramp-up period.</t>
        </is>
      </c>
    </row>
    <row r="50" ht="27" customHeight="1">
      <c r="A50" s="14" t="inlineStr">
        <is>
          <t>- The reliance on the deterministic financing convention (funding the cash consideration of 4945.0779 entirely with new debt at an interest rate of 0.055) pending formal financing commitments, lender engagement, and covenant capacity review.</t>
        </is>
      </c>
    </row>
    <row r="51" ht="27" customHeight="1">
      <c r="A51" s="14" t="inlineStr">
        <is>
          <t>- The extensive information gaps across commercial, legal, operational, and financial workstreams—specifically regarding customer concentration, historical financial statements, material contracts, and technology integration—prior to finalizing the transaction.</t>
        </is>
      </c>
    </row>
    <row r="52"/>
    <row r="53">
      <c r="A53" s="3" t="inlineStr">
        <is>
          <t>IC PARTNER — FINAL QUALITY REVIEW</t>
        </is>
      </c>
    </row>
    <row r="54">
      <c r="A54" s="14" t="inlineStr">
        <is>
          <t>Review round: 1 of 1 used</t>
        </is>
      </c>
    </row>
    <row r="55">
      <c r="A55" s="48" t="inlineStr">
        <is>
          <t>Review status: approved</t>
        </is>
      </c>
    </row>
    <row r="56" ht="40.5" customHeight="1">
      <c r="A56" s="14" t="inlineStr">
        <is>
          <t>Summary: All prior analyses adhere strictly to supplied DEAL DATA and DETERMINISTIC CALCULATIONS without violating numeric or attribution rules. Hypotheses and assumptions are appropriately attributed, information gaps are clearly separated from red flags, and all deterministic outputs are correctly quoted.</t>
        </is>
      </c>
    </row>
    <row r="57"/>
    <row r="58">
      <c r="A58" s="47" t="inlineStr">
        <is>
          <t>Cross-workstream issues</t>
        </is>
      </c>
    </row>
    <row r="59">
      <c r="A59" s="14" t="inlineStr">
        <is>
          <t>• None recorded in the final IC review.</t>
        </is>
      </c>
    </row>
    <row r="60"/>
    <row r="61">
      <c r="A61" s="47" t="inlineStr">
        <is>
          <t>Unresolved information gaps</t>
        </is>
      </c>
    </row>
    <row r="62">
      <c r="A62" s="14" t="inlineStr">
        <is>
          <t>• Absence of multi-period historical financial statements for both acquirer and target.</t>
        </is>
      </c>
    </row>
    <row r="63">
      <c r="A63" s="14" t="inlineStr">
        <is>
          <t>• Absence of qualitative product, technology, capability, customer, and market-share information in DEAL DATA.</t>
        </is>
      </c>
    </row>
    <row r="64">
      <c r="A64" s="14" t="inlineStr">
        <is>
          <t>• Absence of definitive debt financing agreements and formal lender commitments.</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A59"/>
  <sheetViews>
    <sheetView showGridLines="0" workbookViewId="0">
      <selection activeCell="A1" sqref="A1"/>
    </sheetView>
  </sheetViews>
  <sheetFormatPr baseColWidth="8" defaultRowHeight="15"/>
  <cols>
    <col width="120" customWidth="1" min="1" max="1"/>
  </cols>
  <sheetData>
    <row r="1">
      <c r="A1" s="1" t="inlineStr">
        <is>
          <t>Investment Committee Memo</t>
        </is>
      </c>
    </row>
    <row r="2">
      <c r="A2" s="2" t="inlineStr">
        <is>
          <t>Generated from deterministic Python calculations and final reviewed AI analyses.</t>
        </is>
      </c>
    </row>
    <row r="3"/>
    <row r="4">
      <c r="A4" s="3" t="inlineStr">
        <is>
          <t>IC CONCLUSION</t>
        </is>
      </c>
    </row>
    <row r="5">
      <c r="A5" s="13" t="inlineStr">
        <is>
          <t>Decision deferred pending additional information</t>
        </is>
      </c>
    </row>
    <row r="6"/>
    <row r="7">
      <c r="A7" s="46" t="inlineStr">
        <is>
          <t>Investment Committee Memorandum</t>
        </is>
      </c>
    </row>
    <row r="8"/>
    <row r="9">
      <c r="A9" s="47" t="inlineStr">
        <is>
          <t>Transaction Overview</t>
        </is>
      </c>
    </row>
    <row r="10" ht="54" customHeight="1">
      <c r="A10" s="14" t="inlineStr">
        <is>
          <t>DEAL DATA reports that Accenture plc is considering the acquisition of EPAM Systems, Inc. The transaction involves an offer_enterprise_value of 6300.0, funded through a cash_percentage of 0.7 and a stock_percentage of 0.3. Accenture plc reports revenue of 69672.977, ebitda of 11594.049, net_income of 7678.433, cash of 10165.245, debt of 5142.265, shares_outstanding of 612.213453, and a share_price of 174.47. EPAM Systems, Inc. reports revenue of 5457.056, ebitda of 644.814, net_income of 377.678, free_cash_flow of 612.691, cash of 789.397, and debt of 25.0.</t>
        </is>
      </c>
    </row>
    <row r="11" ht="27" customHeight="1">
      <c r="A11" s="14" t="inlineStr">
        <is>
          <t>As noted in the deterministic calculation notes, debt funding of the cash portion is a modelling convention of the deterministic model, not a confirmed financing plan.</t>
        </is>
      </c>
    </row>
    <row r="12"/>
    <row r="13">
      <c r="A13" s="47" t="inlineStr">
        <is>
          <t>Executive Summary</t>
        </is>
      </c>
    </row>
    <row r="14" ht="94.5" customHeight="1">
      <c r="A14" s="14" t="inlineStr">
        <is>
          <t>The proposed transaction brings together Accenture plc and EPAM Systems, Inc. under an offer_enterprise_value of 6300.0. The Deal Lead and Strategic Fit Analyst highlight that product and market-share data are absent from DEAL DATA. The Valuation Analyst reports an enterprise value range from 5287.4748 to 9863.0608, placing the offer within the deterministic valuation range. The Synergy Analyst reports a net synergy value of 608.6724 based on supplied synergy assumptions. Financial, commercial, legal, and operational diligence agents report extensive information gaps, including the absence of multi-period historical financial statements, customer concentration metrics, and material contracts. The Deal Structuring Analyst notes that debt funding of the cash portion is a modelling convention. Major unresolved issues include unverified synergy assumptions, the absence of confirmed financing agreements, and critical information gaps across all diligence workstreams.</t>
        </is>
      </c>
    </row>
    <row r="15"/>
    <row r="16">
      <c r="A16" s="47" t="inlineStr">
        <is>
          <t>Strategic Rationale</t>
        </is>
      </c>
    </row>
    <row r="17" ht="67.5" customHeight="1">
      <c r="A17" s="14" t="inlineStr">
        <is>
          <t>The Deal Lead hypothesized that the transaction brings together Accenture plc and EPAM Systems, Inc., but noted that because the supplied data contains no product, technology, capability, customer, or market-share information, a product-led or market-position strategic rationale cannot yet be assessed from supplied facts. The Strategic Fit Analyst reported that product fit, geographic fit, customer and commercial fit, and buy versus build considerations cannot be assessed from the supplied data because DEAL DATA contains no product, technology, capability, geographic, or customer concentration information for either company.</t>
        </is>
      </c>
    </row>
    <row r="18"/>
    <row r="19">
      <c r="A19" s="47" t="inlineStr">
        <is>
          <t>Valuation</t>
        </is>
      </c>
    </row>
    <row r="20">
      <c r="A20" s="14" t="inlineStr">
        <is>
          <t>The Valuation Analyst reports the following results from the deterministic valuation methods:</t>
        </is>
      </c>
    </row>
    <row r="21">
      <c r="A21" s="14" t="inlineStr">
        <is>
          <t>- Comparable Companies enterprise value: 5287.4748, based on target EBITDA of 644.814 and the comparable_ev_ebitda_multiple of 8.2.</t>
        </is>
      </c>
    </row>
    <row r="22">
      <c r="A22" s="14" t="inlineStr">
        <is>
          <t>- Precedent Transactions enterprise value: 7931.2122, based on target EBITDA of 644.814 and the precedent_ev_ebitda_multiple of 12.3.</t>
        </is>
      </c>
    </row>
    <row r="23" ht="27" customHeight="1">
      <c r="A23" s="14" t="inlineStr">
        <is>
          <t>- Discounted Cash Flow enterprise value: 9863.0608, based on base_fcf of 612.691, forecast_years of 5, fcf_growth_rate of 0.08, wacc of 0.105, and terminal_growth_rate of 0.025.</t>
        </is>
      </c>
    </row>
    <row r="24" ht="40.5" customHeight="1">
      <c r="A24" s="14" t="inlineStr">
        <is>
          <t>The deterministic valuation summary reports a valuation range with a low of 5287.4748, a high of 9863.0608, a midpoint of 7575.2678, and an average of 7693.9159. The offer_enterprise_value of 6300.0 is within the deterministic valuation range, sitting above the Comparable Companies method and below the Precedent Transactions and Discounted Cash Flow methods.</t>
        </is>
      </c>
    </row>
    <row r="25"/>
    <row r="26">
      <c r="A26" s="47" t="inlineStr">
        <is>
          <t>Synergies</t>
        </is>
      </c>
    </row>
    <row r="27" ht="27" customHeight="1">
      <c r="A27" s="14" t="inlineStr">
        <is>
          <t>The Synergy Analyst reports the supplied synergy assumptions: an annual_cost_synergy of 250.0, an annual_revenue_synergy_ebitda of 75.0, realization_years of 5, an integration_cost of 300.0, a tax_rate of 0.253, and a discount_rate of 0.105.</t>
        </is>
      </c>
    </row>
    <row r="28" ht="40.5" customHeight="1">
      <c r="A28" s="14" t="inlineStr">
        <is>
          <t>The deterministic synergy calculations report annual pre-tax synergies of 325.0, annual after-tax synergies of 242.775, PV of synergies of 908.6724, and a net_synergy_value of 608.6724, with net synergy value status reported as positive and integration cost vs PV of synergies reported as below.</t>
        </is>
      </c>
    </row>
    <row r="29" ht="40.5" customHeight="1">
      <c r="A29" s="14" t="inlineStr">
        <is>
          <t>As noted in the deterministic synergy calculation notes, run-rate synergies are counted in full from year one with no ramp-up, and integration cost is a one-off cost at close that is undiscounted and not tax-deductible. Synergy assumptions remain unverified and require operational validation.</t>
        </is>
      </c>
    </row>
    <row r="30"/>
    <row r="31">
      <c r="A31" s="47" t="inlineStr">
        <is>
          <t>Financial Due Diligence</t>
        </is>
      </c>
    </row>
    <row r="32" ht="81" customHeight="1">
      <c r="A32" s="14" t="inlineStr">
        <is>
          <t>The Financial Due Diligence agent observed reported financial evidence for Accenture plc and EPAM Systems, Inc., target net debt of -764.397, offer equity value of 7064.397, valuation range methods, and synergy outputs. The Financial Due Diligence agent reported that revenue quality, EBITDA quality, earnings sustainability, quality of earnings and normalization adjustments, historical growth consistency, one-off/exceptional items, free cash flow quality, working-capital considerations, capex requirements, and tax exposure cannot be fully assessed due to the absence of multi-period historical financial statements, detailed operating expense breakdowns, working capital balances, accounts receivable aging, inventory schedules, capex details, and tax audit records in DEAL DATA.</t>
        </is>
      </c>
    </row>
    <row r="33"/>
    <row r="34">
      <c r="A34" s="47" t="inlineStr">
        <is>
          <t>Commercial Due Diligence</t>
        </is>
      </c>
    </row>
    <row r="35" ht="54" customHeight="1">
      <c r="A35" s="14" t="inlineStr">
        <is>
          <t>The Commercial Due Diligence agent reported that no commercial evidence is supplied in DEAL DATA or DETERMINISTIC CALCULATIONS regarding market position, market size, market growth, addressable market, competitive landscape, customer concentration, customer churn/retention, customer acquisition, recurring revenue, pricing power, sales channels, cross-sell potential, product differentiation, geographic presence, or demand sustainability. All market, competitive, customer, product, and revenue model aspects represent information gaps.</t>
        </is>
      </c>
    </row>
    <row r="36"/>
    <row r="37">
      <c r="A37" s="47" t="inlineStr">
        <is>
          <t>Legal &amp; Operational Due Diligence</t>
        </is>
      </c>
    </row>
    <row r="38" ht="54" customHeight="1">
      <c r="A38" s="14" t="inlineStr">
        <is>
          <t>The Legal &amp; Operational Due Diligence agent reported that material contracts, change-of-control clauses, litigation records, regulatory filings, IP ownership, data privacy obligations, employment liabilities, tax/legal disputes, organization structure, key-person dependencies, systems compatibility, cybersecurity records, vendor dependencies, facilities, integration complexity, business continuity, and operational scalability are absent from DEAL DATA and remain unassessed information gaps.</t>
        </is>
      </c>
    </row>
    <row r="39"/>
    <row r="40">
      <c r="A40" s="47" t="inlineStr">
        <is>
          <t>Transaction Structure &amp; Financing</t>
        </is>
      </c>
    </row>
    <row r="41" ht="40.5" customHeight="1">
      <c r="A41" s="14" t="inlineStr">
        <is>
          <t>The Deal Structuring Analyst reports an offer_enterprise_value of 6300.0, cash_percentage of 0.7, stock_percentage of 0.3, target_net_debt of -764.397, and offer_equity_value of 7064.397. Applying the consideration percentages yields cash_consideration of 4945.0779 and stock_consideration of 2119.3191. Cash percentage vs stock percentage is reported as above.</t>
        </is>
      </c>
    </row>
    <row r="42" ht="40.5" customHeight="1">
      <c r="A42" s="14" t="inlineStr">
        <is>
          <t>Under the deterministic transaction mechanics, new_debt_under_financing_convention is 4945.0779, annual_pre_tax_interest_expense is 271.9793, annual_after_tax_interest_expense is 203.1685, new_shares_issued is 12.1472, pro_forma_shares_outstanding is 624.3606, seller_ownership_of_pro_forma_shares is 0.0195, and existing_acquirer_holders_ownership_of_pro_forma_shares is 0.9805.</t>
        </is>
      </c>
    </row>
    <row r="43" ht="40.5" customHeight="1">
      <c r="A43" s="14" t="inlineStr">
        <is>
          <t>For the excluding-synergies case, standalone EPS is 12.5421, pro_forma_eps is 12.5776, eps_change is 0.0355, eps_change_pct is 0.0028, and result is Accretive. For the including-run-rate-synergies case, standalone EPS is 12.5421, pro_forma_eps is 12.9664, eps_change is 0.4243, eps_change_pct is 0.0338, and result is Accretive. The synergy-inclusive case must never be presented as the expected outcome.</t>
        </is>
      </c>
    </row>
    <row r="44" ht="27" customHeight="1">
      <c r="A44" s="14" t="inlineStr">
        <is>
          <t>As emphasized by the Deal Structuring Analyst and deterministic calculation notes, debt funding of the cash portion is an existing modelling convention, not a confirmed financing plan.</t>
        </is>
      </c>
    </row>
    <row r="45"/>
    <row r="46">
      <c r="A46" s="47" t="inlineStr">
        <is>
          <t>Key Risks &amp; Unresolved Matters</t>
        </is>
      </c>
    </row>
    <row r="47" ht="67.5" customHeight="1">
      <c r="A47" s="14" t="inlineStr">
        <is>
          <t>The Risk Analyst identified evidence-backed risks, including valuation positioning relative to market methods, synergy execution timing risk (arising from full run-rate synergy recognition in year one without a ramp-up), and financing leverage reliance under the deterministic financing convention. Unverified assumptions include comparable and precedent EV/EBITDA multiples, DCF forecast parameters, cost and revenue synergy assumptions, new debt interest rate, and consideration proportions. Extensive information gaps exist across product, customer, financial, commercial, legal, operational, and financing dimensions, as noted by multiple workstream agents and the IC Review Context.</t>
        </is>
      </c>
    </row>
    <row r="48"/>
    <row r="49">
      <c r="A49" s="47" t="inlineStr">
        <is>
          <t>Conditions / Required Next Steps</t>
        </is>
      </c>
    </row>
    <row r="50">
      <c r="A50" s="14" t="inlineStr">
        <is>
          <t>Prior to any investment commitment, the deal team must:</t>
        </is>
      </c>
    </row>
    <row r="51">
      <c r="A51" s="14" t="inlineStr">
        <is>
          <t>- Obtain multi-period historical financial statements for EPAM Systems, Inc.</t>
        </is>
      </c>
    </row>
    <row r="52">
      <c r="A52" s="14" t="inlineStr">
        <is>
          <t>- Obtain detailed customer contracts, customer lists, and retention metrics to evaluate customer concentration risk.</t>
        </is>
      </c>
    </row>
    <row r="53" ht="27" customHeight="1">
      <c r="A53" s="14" t="inlineStr">
        <is>
          <t>- Verify the operational feasibility of the annual_cost_synergy of 250.0 and annual_revenue_synergy_ebitda of 75.0 through departmental headcount, organizational, and procurement reviews.</t>
        </is>
      </c>
    </row>
    <row r="54">
      <c r="A54" s="14" t="inlineStr">
        <is>
          <t>- Audit historical integration expenditures to evaluate the adequacy of the integration_cost of 300.0.</t>
        </is>
      </c>
    </row>
    <row r="55">
      <c r="A55" s="14" t="inlineStr">
        <is>
          <t>- Obtain formal financing commitments and term sheets to replace the deterministic model's financing convention.</t>
        </is>
      </c>
    </row>
    <row r="56">
      <c r="A56" s="14" t="inlineStr">
        <is>
          <t>- Conduct comprehensive legal, tax, litigation, and intellectual property audits.</t>
        </is>
      </c>
    </row>
    <row r="57"/>
    <row r="58">
      <c r="A58" s="47" t="inlineStr">
        <is>
          <t>Investment Committee Conclusion</t>
        </is>
      </c>
    </row>
    <row r="59">
      <c r="A59" s="14" t="inlineStr">
        <is>
          <t>Decision deferred pending additional information</t>
        </is>
      </c>
    </row>
  </sheetData>
  <pageMargins left="0.5" right="0.5" top="0.6" bottom="0.6" header="0.5" footer="0.5"/>
  <pageSetup orientation="landscape" fitToHeight="0" fitToWidth="1"/>
  <headerFooter>
    <oddHeader/>
    <oddFooter>&amp;CGenerated from deterministic Python calculations and final reviewed AI analyses.</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2026-09-29T07:52:59Z</dcterms:created>
  <dcterms:modified xsi:type="dcterms:W3CDTF">2026-09-29T07:52:59Z</dcterms:modified>
</cp:coreProperties>
</file>